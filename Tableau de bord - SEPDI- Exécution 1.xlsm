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hartEx1.xml" ContentType="application/vnd.ms-office.chartex+xml"/>
  <Override PartName="/xl/charts/chartEx2.xml" ContentType="application/vnd.ms-office.chartex+xml"/>
  <Override PartName="/xl/charts/chartEx3.xml" ContentType="application/vnd.ms-office.chartex+xml"/>
  <Override PartName="/xl/charts/chartEx4.xml" ContentType="application/vnd.ms-office.chartex+xml"/>
  <Override PartName="/xl/charts/chartEx5.xml" ContentType="application/vnd.ms-office.chartex+xml"/>
  <Override PartName="/xl/charts/chartEx6.xml" ContentType="application/vnd.ms-office.chartex+xml"/>
  <Override PartName="/xl/charts/chartEx7.xml" ContentType="application/vnd.ms-office.chartex+xml"/>
  <Override PartName="/xl/webextensions/taskpanes.xml" ContentType="application/vnd.ms-office.webextensiontaskpanes+xml"/>
  <Override PartName="/xl/charts/colors1.xml" ContentType="application/vnd.ms-office.chartcolorstyle+xml"/>
  <Override PartName="/xl/charts/style1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7.xml" ContentType="application/vnd.ms-office.chartcolorstyle+xml"/>
  <Override PartName="/xl/charts/style7.xml" ContentType="application/vnd.ms-office.chartstyle+xml"/>
  <Override PartName="/xl/charts/colors12.xml" ContentType="application/vnd.ms-office.chartcolorstyle+xml"/>
  <Override PartName="/xl/charts/style12.xml" ContentType="application/vnd.ms-office.chartstyle+xml"/>
  <Override PartName="/xl/charts/colors13.xml" ContentType="application/vnd.ms-office.chartcolorstyle+xml"/>
  <Override PartName="/xl/charts/style13.xml" ContentType="application/vnd.ms-office.chartstyle+xml"/>
  <Override PartName="/xl/charts/colors14.xml" ContentType="application/vnd.ms-office.chartcolorstyle+xml"/>
  <Override PartName="/xl/charts/style14.xml" ContentType="application/vnd.ms-office.chartstyle+xml"/>
  <Override PartName="/xl/charts/colors16.xml" ContentType="application/vnd.ms-office.chartcolorstyle+xml"/>
  <Override PartName="/xl/charts/style16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8.xml" ContentType="application/vnd.ms-office.chartcolorstyle+xml"/>
  <Override PartName="/xl/charts/style8.xml" ContentType="application/vnd.ms-office.chartstyle+xml"/>
  <Override PartName="/xl/charts/colors9.xml" ContentType="application/vnd.ms-office.chartcolorstyle+xml"/>
  <Override PartName="/xl/charts/style9.xml" ContentType="application/vnd.ms-office.chartstyle+xml"/>
  <Override PartName="/xl/charts/colors10.xml" ContentType="application/vnd.ms-office.chartcolorstyle+xml"/>
  <Override PartName="/xl/charts/style10.xml" ContentType="application/vnd.ms-office.chartstyle+xml"/>
  <Override PartName="/xl/charts/colors11.xml" ContentType="application/vnd.ms-office.chartcolorstyle+xml"/>
  <Override PartName="/xl/charts/style11.xml" ContentType="application/vnd.ms-office.chartstyle+xml"/>
  <Override PartName="/xl/charts/colors15.xml" ContentType="application/vnd.ms-office.chartcolorstyle+xml"/>
  <Override PartName="/xl/charts/style15.xml" ContentType="application/vnd.ms-office.chartstyle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/>
  <workbookPr codeName="ThisWorkbook" defaultThemeVersion="124226"/>
  <bookViews>
    <workbookView xWindow="-100" yWindow="-100" windowWidth="19420" windowHeight="11020"/>
  </bookViews>
  <sheets>
    <sheet name="Données " sheetId="160" r:id="rId1"/>
    <sheet name="Diagrammes" sheetId="161" state="hidden" r:id="rId2"/>
    <sheet name="Tableau de bord" sheetId="163" r:id="rId3"/>
  </sheets>
  <definedNames>
    <definedName name="_xlchart.v1.0" hidden="1">'Données '!$C$4:$D$36</definedName>
    <definedName name="_xlchart.v1.1" hidden="1">'Données '!$E$4:$E$36</definedName>
    <definedName name="_xlchart.v1.10" hidden="1">'Données '!$C$4:$D$36</definedName>
    <definedName name="_xlchart.v1.11" hidden="1">'Données '!$E$4:$E$36</definedName>
    <definedName name="_xlchart.v1.12" hidden="1">'Données '!$C$4:$C$36</definedName>
    <definedName name="_xlchart.v1.13" hidden="1">'Données '!$C$4:$D$36</definedName>
    <definedName name="_xlchart.v1.14" hidden="1">'Données '!$D$4:$D$36</definedName>
    <definedName name="_xlchart.v1.15" hidden="1">'Données '!$E$4:$E$36</definedName>
    <definedName name="_xlchart.v1.2" hidden="1">'Données '!$C$4:$D$36</definedName>
    <definedName name="_xlchart.v1.3" hidden="1">'Données '!$E$4:$E$36</definedName>
    <definedName name="_xlchart.v1.4" hidden="1">'Données '!$C$4:$D$36</definedName>
    <definedName name="_xlchart.v1.5" hidden="1">'Données '!$E$4:$E$36</definedName>
    <definedName name="_xlchart.v1.6" hidden="1">'Données '!$C$4:$D$36</definedName>
    <definedName name="_xlchart.v1.7" hidden="1">'Données '!$E$4:$E$36</definedName>
    <definedName name="_xlchart.v1.8" hidden="1">'Données '!$C$4:$D$36</definedName>
    <definedName name="_xlchart.v1.9" hidden="1">'Données '!$E$4:$E$36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7" i="160" l="1"/>
  <c r="I71" i="160"/>
  <c r="R71" i="160" s="1"/>
  <c r="J71" i="160"/>
  <c r="O71" i="160"/>
  <c r="S71" i="160" s="1"/>
  <c r="F10" i="160" s="1"/>
  <c r="P71" i="160"/>
  <c r="Q71" i="160"/>
  <c r="U71" i="160"/>
  <c r="V71" i="160" s="1"/>
  <c r="W71" i="160"/>
  <c r="X71" i="160"/>
  <c r="AA71" i="160" s="1"/>
  <c r="Y71" i="160"/>
  <c r="I72" i="160"/>
  <c r="R72" i="160" s="1"/>
  <c r="J72" i="160"/>
  <c r="O72" i="160"/>
  <c r="P72" i="160"/>
  <c r="Q72" i="160"/>
  <c r="U72" i="160"/>
  <c r="V72" i="160" s="1"/>
  <c r="W72" i="160"/>
  <c r="X72" i="160"/>
  <c r="Y72" i="160"/>
  <c r="I73" i="160"/>
  <c r="R73" i="160" s="1"/>
  <c r="J73" i="160"/>
  <c r="O73" i="160"/>
  <c r="P73" i="160"/>
  <c r="Q73" i="160"/>
  <c r="U73" i="160"/>
  <c r="V73" i="160" s="1"/>
  <c r="W73" i="160"/>
  <c r="X73" i="160"/>
  <c r="AA73" i="160" s="1"/>
  <c r="Y73" i="160"/>
  <c r="I74" i="160"/>
  <c r="R74" i="160" s="1"/>
  <c r="J74" i="160"/>
  <c r="O74" i="160"/>
  <c r="P74" i="160"/>
  <c r="Q74" i="160"/>
  <c r="U74" i="160"/>
  <c r="V74" i="160" s="1"/>
  <c r="W74" i="160"/>
  <c r="X74" i="160"/>
  <c r="AA74" i="160" s="1"/>
  <c r="Y74" i="160"/>
  <c r="I65" i="160"/>
  <c r="R65" i="160" s="1"/>
  <c r="I66" i="160"/>
  <c r="I67" i="160"/>
  <c r="R67" i="160" s="1"/>
  <c r="I68" i="160"/>
  <c r="R68" i="160" s="1"/>
  <c r="I69" i="160"/>
  <c r="R69" i="160" s="1"/>
  <c r="I70" i="160"/>
  <c r="R70" i="160" s="1"/>
  <c r="D71" i="160"/>
  <c r="D72" i="160"/>
  <c r="D73" i="160"/>
  <c r="D74" i="160"/>
  <c r="C65" i="160"/>
  <c r="D65" i="160"/>
  <c r="C66" i="160"/>
  <c r="D66" i="160"/>
  <c r="C67" i="160"/>
  <c r="C68" i="160"/>
  <c r="D68" i="160"/>
  <c r="C69" i="160"/>
  <c r="D69" i="160"/>
  <c r="C70" i="160"/>
  <c r="D70" i="160"/>
  <c r="E141" i="160"/>
  <c r="C71" i="160"/>
  <c r="C72" i="160"/>
  <c r="C73" i="160"/>
  <c r="C74" i="160"/>
  <c r="C75" i="160"/>
  <c r="D75" i="160"/>
  <c r="C76" i="160"/>
  <c r="D76" i="160"/>
  <c r="C77" i="160"/>
  <c r="D77" i="160"/>
  <c r="C78" i="160"/>
  <c r="D78" i="160"/>
  <c r="C79" i="160"/>
  <c r="D79" i="160"/>
  <c r="C80" i="160"/>
  <c r="D80" i="160"/>
  <c r="J66" i="160"/>
  <c r="J67" i="160"/>
  <c r="J68" i="160"/>
  <c r="J69" i="160"/>
  <c r="J70" i="160"/>
  <c r="J65" i="160"/>
  <c r="O65" i="160"/>
  <c r="S65" i="160" s="1"/>
  <c r="P65" i="160"/>
  <c r="Q65" i="160"/>
  <c r="U65" i="160"/>
  <c r="V65" i="160" s="1"/>
  <c r="W65" i="160"/>
  <c r="X65" i="160"/>
  <c r="AA65" i="160" s="1"/>
  <c r="Y65" i="160"/>
  <c r="O66" i="160"/>
  <c r="S66" i="160" s="1"/>
  <c r="P66" i="160"/>
  <c r="Q66" i="160"/>
  <c r="U66" i="160"/>
  <c r="V66" i="160" s="1"/>
  <c r="W66" i="160"/>
  <c r="X66" i="160"/>
  <c r="Y66" i="160"/>
  <c r="O67" i="160"/>
  <c r="S67" i="160" s="1"/>
  <c r="P67" i="160"/>
  <c r="Q67" i="160"/>
  <c r="U67" i="160"/>
  <c r="V67" i="160" s="1"/>
  <c r="W67" i="160"/>
  <c r="X67" i="160"/>
  <c r="Y67" i="160"/>
  <c r="O68" i="160"/>
  <c r="S68" i="160" s="1"/>
  <c r="P68" i="160"/>
  <c r="Q68" i="160"/>
  <c r="U68" i="160"/>
  <c r="V68" i="160" s="1"/>
  <c r="W68" i="160"/>
  <c r="X68" i="160"/>
  <c r="Y68" i="160"/>
  <c r="O69" i="160"/>
  <c r="S69" i="160" s="1"/>
  <c r="P69" i="160"/>
  <c r="Q69" i="160"/>
  <c r="U69" i="160"/>
  <c r="V69" i="160" s="1"/>
  <c r="W69" i="160"/>
  <c r="X69" i="160"/>
  <c r="AA69" i="160" s="1"/>
  <c r="Y69" i="160"/>
  <c r="O70" i="160"/>
  <c r="S70" i="160" s="1"/>
  <c r="P70" i="160"/>
  <c r="Q70" i="160"/>
  <c r="U70" i="160"/>
  <c r="V70" i="160" s="1"/>
  <c r="W70" i="160"/>
  <c r="X70" i="160"/>
  <c r="AA70" i="160" s="1"/>
  <c r="Y70" i="160"/>
  <c r="E81" i="160"/>
  <c r="F81" i="160"/>
  <c r="G81" i="160"/>
  <c r="H81" i="160"/>
  <c r="K81" i="160"/>
  <c r="L81" i="160"/>
  <c r="M81" i="160"/>
  <c r="N81" i="160"/>
  <c r="T81" i="160"/>
  <c r="G13" i="160" l="1"/>
  <c r="I11" i="160"/>
  <c r="K11" i="160" s="1"/>
  <c r="H12" i="160"/>
  <c r="J12" i="160" s="1"/>
  <c r="H13" i="160"/>
  <c r="J13" i="160" s="1"/>
  <c r="S74" i="160"/>
  <c r="F13" i="160" s="1"/>
  <c r="I12" i="160"/>
  <c r="K12" i="160" s="1"/>
  <c r="Z72" i="160"/>
  <c r="I10" i="160"/>
  <c r="K10" i="160" s="1"/>
  <c r="Z74" i="160"/>
  <c r="AB74" i="160" s="1"/>
  <c r="I13" i="160"/>
  <c r="K13" i="160" s="1"/>
  <c r="S72" i="160"/>
  <c r="F11" i="160" s="1"/>
  <c r="G11" i="160"/>
  <c r="AA72" i="160"/>
  <c r="S73" i="160"/>
  <c r="F12" i="160" s="1"/>
  <c r="G12" i="160"/>
  <c r="H10" i="160"/>
  <c r="J10" i="160" s="1"/>
  <c r="G10" i="160"/>
  <c r="Z73" i="160"/>
  <c r="AB73" i="160" s="1"/>
  <c r="Z71" i="160"/>
  <c r="AB71" i="160" s="1"/>
  <c r="H11" i="160"/>
  <c r="J11" i="160" s="1"/>
  <c r="Z66" i="160"/>
  <c r="Z68" i="160"/>
  <c r="Y81" i="160"/>
  <c r="P81" i="160"/>
  <c r="O81" i="160"/>
  <c r="Z67" i="160"/>
  <c r="Q81" i="160"/>
  <c r="I81" i="160"/>
  <c r="X81" i="160"/>
  <c r="Z69" i="160"/>
  <c r="AB69" i="160" s="1"/>
  <c r="Z70" i="160"/>
  <c r="AB70" i="160" s="1"/>
  <c r="Z65" i="160"/>
  <c r="AB65" i="160" s="1"/>
  <c r="V81" i="160"/>
  <c r="J81" i="160"/>
  <c r="W81" i="160"/>
  <c r="U81" i="160"/>
  <c r="AA66" i="160"/>
  <c r="R66" i="160"/>
  <c r="R81" i="160" s="1"/>
  <c r="AA67" i="160"/>
  <c r="AA68" i="160"/>
  <c r="AB72" i="160" l="1"/>
  <c r="S81" i="160"/>
  <c r="AB68" i="160"/>
  <c r="AB67" i="160"/>
  <c r="Z81" i="160"/>
  <c r="AA81" i="160"/>
  <c r="AB66" i="160"/>
  <c r="E37" i="160"/>
  <c r="AB81" i="160" l="1"/>
  <c r="I6" i="160"/>
  <c r="K6" i="160" s="1"/>
  <c r="G4" i="160"/>
  <c r="F4" i="160"/>
  <c r="F5" i="160"/>
  <c r="G5" i="160"/>
  <c r="F6" i="160"/>
  <c r="G6" i="160"/>
  <c r="G7" i="160"/>
  <c r="F7" i="160"/>
  <c r="G8" i="160"/>
  <c r="F8" i="160"/>
  <c r="G9" i="160"/>
  <c r="F9" i="160"/>
  <c r="H8" i="160"/>
  <c r="J8" i="160" s="1"/>
  <c r="H6" i="160"/>
  <c r="J6" i="160" s="1"/>
  <c r="I7" i="160"/>
  <c r="K7" i="160" s="1"/>
  <c r="H7" i="160"/>
  <c r="J7" i="160" s="1"/>
  <c r="I9" i="160"/>
  <c r="K9" i="160" s="1"/>
  <c r="I8" i="160"/>
  <c r="K8" i="160" s="1"/>
  <c r="H5" i="160"/>
  <c r="J5" i="160" s="1"/>
  <c r="I5" i="160"/>
  <c r="K5" i="160" s="1"/>
  <c r="I4" i="160"/>
  <c r="K4" i="160" s="1"/>
  <c r="H9" i="160"/>
  <c r="J9" i="160" s="1"/>
  <c r="H4" i="160"/>
  <c r="J4" i="160" s="1"/>
  <c r="G37" i="160" l="1"/>
  <c r="F162" i="160" s="1"/>
  <c r="F164" i="160" s="1"/>
  <c r="F37" i="160"/>
  <c r="K37" i="160"/>
  <c r="E142" i="160"/>
  <c r="F142" i="160" s="1"/>
  <c r="J37" i="160"/>
  <c r="H37" i="160"/>
  <c r="I37" i="160"/>
  <c r="E143" i="160" l="1"/>
  <c r="F143" i="160" s="1"/>
  <c r="F161" i="160" l="1"/>
  <c r="F163" i="160" l="1"/>
  <c r="F165" i="160" l="1"/>
</calcChain>
</file>

<file path=xl/sharedStrings.xml><?xml version="1.0" encoding="utf-8"?>
<sst xmlns="http://schemas.openxmlformats.org/spreadsheetml/2006/main" count="124" uniqueCount="112">
  <si>
    <t>PERIMETRE DU PROJET</t>
  </si>
  <si>
    <t>Modules</t>
  </si>
  <si>
    <t>Exigences</t>
  </si>
  <si>
    <t>Taille</t>
  </si>
  <si>
    <t>Valide</t>
  </si>
  <si>
    <t>Testé</t>
  </si>
  <si>
    <t>Conforme</t>
  </si>
  <si>
    <t>Non Conforme</t>
  </si>
  <si>
    <t>Conf (taille)</t>
  </si>
  <si>
    <t>Non C (taille)</t>
  </si>
  <si>
    <t>Gestion des Nouveaux Contrats (Service 1)</t>
  </si>
  <si>
    <t xml:space="preserve">Saisie du formulaire d'inscription client
</t>
  </si>
  <si>
    <t>Vérification automatique de l'identité (OCR)</t>
  </si>
  <si>
    <t>Signature numérique du contrat</t>
  </si>
  <si>
    <t>Modification des Contrats Existants (Service 2)</t>
  </si>
  <si>
    <t>Mise à jour des coordonnées de contact</t>
  </si>
  <si>
    <t>Demande d'ajustement de puissance électrique</t>
  </si>
  <si>
    <t>Nouveau Raccordement au Réseau (Service 3)</t>
  </si>
  <si>
    <t>Soumission du dossier technique de branchement</t>
  </si>
  <si>
    <t>Consultation de l'état d'avancement</t>
  </si>
  <si>
    <t>Centre d'Information et Support (Service 4)</t>
  </si>
  <si>
    <t>Envoi d'une demande d'information générale</t>
  </si>
  <si>
    <t>Réception automatique de l'accusé de réception</t>
  </si>
  <si>
    <t>Expérience Utilisateur et Localisation</t>
  </si>
  <si>
    <t>Changement de la langue d'affichage</t>
  </si>
  <si>
    <t>AVANCEMENT DES TESTS PAR EXIGENCE</t>
  </si>
  <si>
    <t>Tests</t>
  </si>
  <si>
    <t>Défauts</t>
  </si>
  <si>
    <t>OK</t>
  </si>
  <si>
    <t>KO</t>
  </si>
  <si>
    <t>Non Testable</t>
  </si>
  <si>
    <t>Non Exécuté</t>
  </si>
  <si>
    <t>TOTAL</t>
  </si>
  <si>
    <t>Bloquantes</t>
  </si>
  <si>
    <t>Majeures</t>
  </si>
  <si>
    <t>Mineures</t>
  </si>
  <si>
    <t>Objectif</t>
  </si>
  <si>
    <t>% OK</t>
  </si>
  <si>
    <t>% KO</t>
  </si>
  <si>
    <t>% Non Testable</t>
  </si>
  <si>
    <t>% Non Exécuté</t>
  </si>
  <si>
    <t>Validé</t>
  </si>
  <si>
    <t>Préparé %</t>
  </si>
  <si>
    <t>Exécuté %</t>
  </si>
  <si>
    <t>A exécuter %</t>
  </si>
  <si>
    <t>A préparer %</t>
  </si>
  <si>
    <t>Préparé</t>
  </si>
  <si>
    <t>Exécuté</t>
  </si>
  <si>
    <t>A exécuter</t>
  </si>
  <si>
    <t>A préparer</t>
  </si>
  <si>
    <t>NB Bogues créés</t>
  </si>
  <si>
    <t>AVANCEMENT DE LA CONFORMITE GLOBALE (QUALITE)</t>
  </si>
  <si>
    <t>NB</t>
  </si>
  <si>
    <t>Pourcentage</t>
  </si>
  <si>
    <t>Toutes les exigences</t>
  </si>
  <si>
    <t>Conformes</t>
  </si>
  <si>
    <t>Non conformes</t>
  </si>
  <si>
    <t>AVANCEMENT GLOBAL DES TESTS (PROJET)</t>
  </si>
  <si>
    <t xml:space="preserve">Testé </t>
  </si>
  <si>
    <t>A tester</t>
  </si>
  <si>
    <t xml:space="preserve">Le système contient plus de fonctions </t>
  </si>
  <si>
    <t>Mais fonctionne moins bien</t>
  </si>
  <si>
    <t xml:space="preserve">Régréssion </t>
  </si>
  <si>
    <t>Renvoyer  des objets annoncés en CA</t>
  </si>
  <si>
    <t>Traiter un objet</t>
  </si>
  <si>
    <t>Renvoye des objets annoncé en commission</t>
  </si>
  <si>
    <t>Cadencement manuel</t>
  </si>
  <si>
    <t>Cadencement automatique</t>
  </si>
  <si>
    <t>Affichage dans le PV des objets annoncés et non décidés</t>
  </si>
  <si>
    <t>Confidentialité : Les objets non annoncés sont accessibles aux non auteurs</t>
  </si>
  <si>
    <t>Import</t>
  </si>
  <si>
    <t>La liste des séances source contient des séances non archivées</t>
  </si>
  <si>
    <t>Tests bloqués</t>
  </si>
  <si>
    <t>Traitement des objets en Séance de commission</t>
  </si>
  <si>
    <t>Traitement des tâches de commission</t>
  </si>
  <si>
    <t>Traitement des objets renvoyés au CA</t>
  </si>
  <si>
    <t>Explication potentielle : Ajout de nouvelles fonctions importante sans être couvertes par les tests automatisés</t>
  </si>
  <si>
    <t>Fonctions ajoutées</t>
  </si>
  <si>
    <t>Amélioration  pour annoncer un objet et le décider lors de la même session</t>
  </si>
  <si>
    <t>Déplacer les objets entre rubriques</t>
  </si>
  <si>
    <t>MAJ des décisions</t>
  </si>
  <si>
    <t>MAJ des routages KO</t>
  </si>
  <si>
    <t>Roles et accès des participants</t>
  </si>
  <si>
    <t>Président ne peut modiier l'ordre du jour</t>
  </si>
  <si>
    <t>Points OJ</t>
  </si>
  <si>
    <t>Décision sans routage</t>
  </si>
  <si>
    <t>Commentaires</t>
  </si>
  <si>
    <t>Sans décision ni routage</t>
  </si>
  <si>
    <t>Confidentialité</t>
  </si>
  <si>
    <t>PV</t>
  </si>
  <si>
    <t>objets annoncés ne sont pas visibles</t>
  </si>
  <si>
    <t>Onglet Décision</t>
  </si>
  <si>
    <t>objets non annoncés sont visibles</t>
  </si>
  <si>
    <t>Onglet Ordre du jour</t>
  </si>
  <si>
    <t>CM et CA peuvent voir des objets non annoncés</t>
  </si>
  <si>
    <t>Renvoi en commission</t>
  </si>
  <si>
    <t>Renvoi au CA</t>
  </si>
  <si>
    <t>3.4</t>
  </si>
  <si>
    <t xml:space="preserve">Préparation </t>
  </si>
  <si>
    <t>Report des notes entre séances plénière, causcus, bureau, commission</t>
  </si>
  <si>
    <t>Annonces</t>
  </si>
  <si>
    <t>Annoncer et décider un objet dans la même session, modification de la liste des décisions suite au changement de rubrique</t>
  </si>
  <si>
    <t>OJ</t>
  </si>
  <si>
    <t>Instabilité non reproductible lors des imports : risque perte de données ou d'ordre des points de l'OJ</t>
  </si>
  <si>
    <t>Suivi</t>
  </si>
  <si>
    <t xml:space="preserve">Gérer les décisions des annonces, des points et des commentaires </t>
  </si>
  <si>
    <t>Commission</t>
  </si>
  <si>
    <t>Rôles des participants, attendu des utilisateurs peut changer : création des tâches, saisie des décisions, informations à tracer dans un PV de commission</t>
  </si>
  <si>
    <t>Bureau</t>
  </si>
  <si>
    <t>Le spécifié fonctionne mais risque de demande d'évolution</t>
  </si>
  <si>
    <t>Caucus</t>
  </si>
  <si>
    <t xml:space="preserve">Changements à venir dans le périmètre fonctionnel + qq Tickets aléatoires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</si>
</sst>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8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83">
    <xf numFmtId="0" fontId="0" fillId="0" borderId="0" xfId="0"/>
    <xf numFmtId="0" fontId="2" fillId="0" borderId="0" xfId="0" applyFont="1" applyAlignment="1">
      <alignment horizontal="center" vertical="center"/>
    </xf>
    <xf numFmtId="9" fontId="0" fillId="0" borderId="0" xfId="2" applyFont="1"/>
    <xf numFmtId="1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9" fontId="2" fillId="0" borderId="0" xfId="2" applyFont="1" applyAlignment="1">
      <alignment horizontal="center" vertical="center"/>
    </xf>
    <xf numFmtId="0" fontId="2" fillId="0" borderId="0" xfId="2" applyNumberFormat="1" applyFont="1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3" borderId="0" xfId="0" applyFont="1" applyFill="1"/>
    <xf numFmtId="9" fontId="0" fillId="0" borderId="0" xfId="0" applyNumberFormat="1"/>
    <xf numFmtId="0" fontId="0" fillId="0" borderId="1" xfId="0" applyBorder="1"/>
    <xf numFmtId="0" fontId="0" fillId="0" borderId="3" xfId="0" applyBorder="1"/>
    <xf numFmtId="0" fontId="0" fillId="0" borderId="0" xfId="0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" fontId="2" fillId="0" borderId="0" xfId="2" applyNumberFormat="1" applyFont="1" applyAlignment="1">
      <alignment horizontal="center" vertical="center"/>
    </xf>
    <xf numFmtId="0" fontId="0" fillId="0" borderId="0" xfId="0" applyFill="1"/>
    <xf numFmtId="9" fontId="0" fillId="3" borderId="0" xfId="2" applyFont="1" applyFill="1" applyAlignment="1">
      <alignment horizontal="center" vertical="center"/>
    </xf>
    <xf numFmtId="9" fontId="0" fillId="3" borderId="0" xfId="0" applyNumberFormat="1" applyFont="1" applyFill="1" applyAlignment="1">
      <alignment horizontal="center" vertical="center"/>
    </xf>
    <xf numFmtId="1" fontId="0" fillId="3" borderId="0" xfId="0" applyNumberFormat="1" applyFont="1" applyFill="1"/>
    <xf numFmtId="0" fontId="2" fillId="3" borderId="0" xfId="2" applyNumberFormat="1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0" fontId="0" fillId="5" borderId="0" xfId="0" applyFont="1" applyFill="1" applyAlignment="1">
      <alignment horizontal="center" vertical="center"/>
    </xf>
    <xf numFmtId="9" fontId="0" fillId="3" borderId="0" xfId="2" applyFont="1" applyFill="1"/>
    <xf numFmtId="9" fontId="0" fillId="3" borderId="0" xfId="0" applyNumberFormat="1" applyFill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" fontId="2" fillId="0" borderId="3" xfId="0" applyNumberFormat="1" applyFont="1" applyBorder="1" applyAlignment="1">
      <alignment horizontal="center" vertical="center"/>
    </xf>
    <xf numFmtId="1" fontId="2" fillId="0" borderId="9" xfId="0" applyNumberFormat="1" applyFont="1" applyBorder="1" applyAlignment="1">
      <alignment horizontal="center" vertical="center"/>
    </xf>
    <xf numFmtId="1" fontId="2" fillId="0" borderId="10" xfId="0" applyNumberFormat="1" applyFont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4" fillId="0" borderId="0" xfId="2" applyNumberFormat="1" applyFont="1" applyAlignment="1">
      <alignment horizontal="center" vertical="center"/>
    </xf>
    <xf numFmtId="0" fontId="0" fillId="3" borderId="0" xfId="0" applyFill="1"/>
    <xf numFmtId="0" fontId="0" fillId="3" borderId="0" xfId="2" applyNumberFormat="1" applyFont="1" applyFill="1" applyAlignment="1">
      <alignment horizontal="center" vertical="center"/>
    </xf>
    <xf numFmtId="0" fontId="0" fillId="6" borderId="0" xfId="0" applyFill="1" applyAlignment="1"/>
    <xf numFmtId="0" fontId="0" fillId="3" borderId="2" xfId="0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Fill="1"/>
    <xf numFmtId="1" fontId="6" fillId="0" borderId="2" xfId="2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0" xfId="2" applyNumberFormat="1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8" xfId="2" applyNumberFormat="1" applyFont="1" applyFill="1" applyBorder="1" applyAlignment="1">
      <alignment horizontal="center" vertical="center"/>
    </xf>
    <xf numFmtId="0" fontId="0" fillId="8" borderId="4" xfId="0" applyFont="1" applyFill="1" applyBorder="1" applyAlignment="1">
      <alignment horizontal="center" vertical="center"/>
    </xf>
    <xf numFmtId="9" fontId="6" fillId="0" borderId="5" xfId="2" applyFont="1" applyBorder="1" applyAlignment="1">
      <alignment horizontal="center" vertical="center"/>
    </xf>
    <xf numFmtId="9" fontId="2" fillId="0" borderId="6" xfId="0" applyNumberFormat="1" applyFont="1" applyBorder="1" applyAlignment="1">
      <alignment horizontal="center" vertical="center"/>
    </xf>
    <xf numFmtId="9" fontId="0" fillId="3" borderId="0" xfId="0" applyNumberFormat="1" applyFill="1"/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9" fontId="0" fillId="3" borderId="2" xfId="2" applyFont="1" applyFill="1" applyBorder="1" applyAlignment="1">
      <alignment horizontal="center" vertical="center"/>
    </xf>
    <xf numFmtId="9" fontId="0" fillId="3" borderId="8" xfId="2" applyFont="1" applyFill="1" applyBorder="1" applyAlignment="1">
      <alignment horizontal="center" vertical="center"/>
    </xf>
    <xf numFmtId="9" fontId="2" fillId="0" borderId="3" xfId="0" applyNumberFormat="1" applyFont="1" applyBorder="1" applyAlignment="1">
      <alignment horizontal="center" vertical="center"/>
    </xf>
    <xf numFmtId="9" fontId="2" fillId="0" borderId="10" xfId="0" applyNumberFormat="1" applyFont="1" applyBorder="1" applyAlignment="1">
      <alignment horizontal="center" vertical="center"/>
    </xf>
    <xf numFmtId="0" fontId="0" fillId="0" borderId="15" xfId="0" applyBorder="1"/>
    <xf numFmtId="0" fontId="0" fillId="0" borderId="0" xfId="0" applyBorder="1"/>
    <xf numFmtId="0" fontId="0" fillId="0" borderId="2" xfId="0" applyFill="1" applyBorder="1"/>
    <xf numFmtId="0" fontId="0" fillId="0" borderId="9" xfId="0" applyBorder="1"/>
    <xf numFmtId="9" fontId="0" fillId="7" borderId="4" xfId="0" applyNumberFormat="1" applyFill="1" applyBorder="1" applyAlignment="1">
      <alignment horizontal="center" vertical="center"/>
    </xf>
    <xf numFmtId="9" fontId="0" fillId="9" borderId="5" xfId="0" applyNumberFormat="1" applyFill="1" applyBorder="1" applyAlignment="1">
      <alignment horizontal="center" vertical="center"/>
    </xf>
    <xf numFmtId="9" fontId="0" fillId="10" borderId="6" xfId="0" applyNumberFormat="1" applyFill="1" applyBorder="1" applyAlignment="1">
      <alignment horizontal="center" vertical="center"/>
    </xf>
    <xf numFmtId="0" fontId="0" fillId="11" borderId="2" xfId="0" applyFill="1" applyBorder="1"/>
    <xf numFmtId="9" fontId="0" fillId="11" borderId="5" xfId="2" applyFont="1" applyFill="1" applyBorder="1" applyAlignment="1">
      <alignment horizontal="center" vertical="center"/>
    </xf>
    <xf numFmtId="9" fontId="2" fillId="0" borderId="7" xfId="0" applyNumberFormat="1" applyFont="1" applyBorder="1" applyAlignment="1">
      <alignment horizontal="center" vertical="center"/>
    </xf>
    <xf numFmtId="1" fontId="7" fillId="3" borderId="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wrapText="1"/>
    </xf>
    <xf numFmtId="0" fontId="6" fillId="0" borderId="0" xfId="0" applyFont="1" applyFill="1" applyAlignment="1">
      <alignment wrapText="1"/>
    </xf>
    <xf numFmtId="0" fontId="8" fillId="0" borderId="0" xfId="0" applyFont="1" applyAlignment="1">
      <alignment wrapText="1"/>
    </xf>
    <xf numFmtId="0" fontId="0" fillId="0" borderId="0" xfId="0" applyFill="1" applyBorder="1"/>
    <xf numFmtId="1" fontId="6" fillId="0" borderId="16" xfId="2" applyNumberFormat="1" applyFont="1" applyBorder="1" applyAlignment="1">
      <alignment horizontal="center" vertical="center"/>
    </xf>
    <xf numFmtId="9" fontId="6" fillId="0" borderId="17" xfId="2" applyFont="1" applyBorder="1" applyAlignment="1">
      <alignment horizontal="center" vertical="center"/>
    </xf>
    <xf numFmtId="9" fontId="6" fillId="0" borderId="18" xfId="2" applyFont="1" applyBorder="1" applyAlignment="1">
      <alignment horizontal="center" vertical="center"/>
    </xf>
    <xf numFmtId="0" fontId="0" fillId="6" borderId="0" xfId="0" applyFill="1" applyAlignment="1">
      <alignment horizontal="left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3">
    <cellStyle name="Normal" xfId="0" builtinId="0"/>
    <cellStyle name="Normal 2" xfId="1"/>
    <cellStyle name="Pourcentage" xfId="2" builtinId="5"/>
  </cellStyles>
  <dxfs count="3">
    <dxf>
      <font>
        <strike val="0"/>
        <color theme="0"/>
      </font>
      <fill>
        <patternFill patternType="none">
          <fgColor auto="1"/>
          <bgColor auto="1"/>
        </patternFill>
      </fill>
    </dxf>
    <dxf>
      <font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92D050"/>
      <color rgb="FF00B050"/>
      <color rgb="FFFF9900"/>
      <color rgb="FF86AE2C"/>
      <color rgb="FF66FF33"/>
      <color rgb="FFCC7900"/>
      <color rgb="FF99FF33"/>
      <color rgb="FF00B0F0"/>
      <color rgb="FFA3AD1B"/>
      <color rgb="FFD0DD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3"/>
          <c:order val="3"/>
          <c:tx>
            <c:strRef>
              <c:f>'Données '!$O$64</c:f>
              <c:strCache>
                <c:ptCount val="1"/>
                <c:pt idx="0">
                  <c:v>% OK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'Données '!$D$65:$D$74</c:f>
              <c:strCache>
                <c:ptCount val="10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  <c:pt idx="6">
                  <c:v>Consultation de l'état d'avancement</c:v>
                </c:pt>
                <c:pt idx="7">
                  <c:v>Envoi d'une demande d'information générale</c:v>
                </c:pt>
                <c:pt idx="8">
                  <c:v>Réception automatique de l'accusé de réception</c:v>
                </c:pt>
                <c:pt idx="9">
                  <c:v>Changement de la langue d'affichage</c:v>
                </c:pt>
              </c:strCache>
            </c:strRef>
          </c:cat>
          <c:val>
            <c:numRef>
              <c:f>'Données '!$O$65:$O$74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DBE-4715-9810-AC3C87680827}"/>
            </c:ext>
          </c:extLst>
        </c:ser>
        <c:ser>
          <c:idx val="4"/>
          <c:order val="4"/>
          <c:tx>
            <c:strRef>
              <c:f>'Données '!$P$64</c:f>
              <c:strCache>
                <c:ptCount val="1"/>
                <c:pt idx="0">
                  <c:v>% KO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'Données '!$D$65:$D$74</c:f>
              <c:strCache>
                <c:ptCount val="10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  <c:pt idx="6">
                  <c:v>Consultation de l'état d'avancement</c:v>
                </c:pt>
                <c:pt idx="7">
                  <c:v>Envoi d'une demande d'information générale</c:v>
                </c:pt>
                <c:pt idx="8">
                  <c:v>Réception automatique de l'accusé de réception</c:v>
                </c:pt>
                <c:pt idx="9">
                  <c:v>Changement de la langue d'affichage</c:v>
                </c:pt>
              </c:strCache>
            </c:strRef>
          </c:cat>
          <c:val>
            <c:numRef>
              <c:f>'Données '!$P$65:$P$74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DBE-4715-9810-AC3C87680827}"/>
            </c:ext>
          </c:extLst>
        </c:ser>
        <c:ser>
          <c:idx val="5"/>
          <c:order val="5"/>
          <c:tx>
            <c:strRef>
              <c:f>'Données '!$Q$64</c:f>
              <c:strCache>
                <c:ptCount val="1"/>
                <c:pt idx="0">
                  <c:v>% Non Testable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'Données '!$D$65:$D$74</c:f>
              <c:strCache>
                <c:ptCount val="10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  <c:pt idx="6">
                  <c:v>Consultation de l'état d'avancement</c:v>
                </c:pt>
                <c:pt idx="7">
                  <c:v>Envoi d'une demande d'information générale</c:v>
                </c:pt>
                <c:pt idx="8">
                  <c:v>Réception automatique de l'accusé de réception</c:v>
                </c:pt>
                <c:pt idx="9">
                  <c:v>Changement de la langue d'affichage</c:v>
                </c:pt>
              </c:strCache>
            </c:strRef>
          </c:cat>
          <c:val>
            <c:numRef>
              <c:f>'Données '!$Q$65:$Q$74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DBE-4715-9810-AC3C87680827}"/>
            </c:ext>
          </c:extLst>
        </c:ser>
        <c:ser>
          <c:idx val="6"/>
          <c:order val="6"/>
          <c:tx>
            <c:strRef>
              <c:f>'Données '!$R$64</c:f>
              <c:strCache>
                <c:ptCount val="1"/>
                <c:pt idx="0">
                  <c:v>% Non Exécuté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'Données '!$D$65:$D$74</c:f>
              <c:strCache>
                <c:ptCount val="10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  <c:pt idx="6">
                  <c:v>Consultation de l'état d'avancement</c:v>
                </c:pt>
                <c:pt idx="7">
                  <c:v>Envoi d'une demande d'information générale</c:v>
                </c:pt>
                <c:pt idx="8">
                  <c:v>Réception automatique de l'accusé de réception</c:v>
                </c:pt>
                <c:pt idx="9">
                  <c:v>Changement de la langue d'affichage</c:v>
                </c:pt>
              </c:strCache>
            </c:strRef>
          </c:cat>
          <c:val>
            <c:numRef>
              <c:f>'Données '!$R$65:$R$74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DBE-4715-9810-AC3C8768082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5"/>
        <c:overlap val="100"/>
        <c:axId val="151042304"/>
        <c:axId val="151056768"/>
      </c:barChart>
      <c:barChart>
        <c:barDir val="col"/>
        <c:grouping val="clustered"/>
        <c:varyColors val="0"/>
        <c:ser>
          <c:idx val="0"/>
          <c:order val="0"/>
          <c:tx>
            <c:strRef>
              <c:f>'Données '!$K$64</c:f>
              <c:strCache>
                <c:ptCount val="1"/>
                <c:pt idx="0">
                  <c:v>Bloquantes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'Données '!$D$65:$D$74</c:f>
              <c:strCache>
                <c:ptCount val="10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  <c:pt idx="6">
                  <c:v>Consultation de l'état d'avancement</c:v>
                </c:pt>
                <c:pt idx="7">
                  <c:v>Envoi d'une demande d'information générale</c:v>
                </c:pt>
                <c:pt idx="8">
                  <c:v>Réception automatique de l'accusé de réception</c:v>
                </c:pt>
                <c:pt idx="9">
                  <c:v>Changement de la langue d'affichage</c:v>
                </c:pt>
              </c:strCache>
            </c:strRef>
          </c:cat>
          <c:val>
            <c:numRef>
              <c:f>'Données '!$K$65:$K$74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DBE-4715-9810-AC3C87680827}"/>
            </c:ext>
          </c:extLst>
        </c:ser>
        <c:ser>
          <c:idx val="1"/>
          <c:order val="1"/>
          <c:tx>
            <c:strRef>
              <c:f>'Données '!$L$64</c:f>
              <c:strCache>
                <c:ptCount val="1"/>
                <c:pt idx="0">
                  <c:v>Majeures</c:v>
                </c:pt>
              </c:strCache>
            </c:strRef>
          </c:tx>
          <c:spPr>
            <a:solidFill>
              <a:srgbClr val="FF99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'Données '!$D$65:$D$74</c:f>
              <c:strCache>
                <c:ptCount val="10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  <c:pt idx="6">
                  <c:v>Consultation de l'état d'avancement</c:v>
                </c:pt>
                <c:pt idx="7">
                  <c:v>Envoi d'une demande d'information générale</c:v>
                </c:pt>
                <c:pt idx="8">
                  <c:v>Réception automatique de l'accusé de réception</c:v>
                </c:pt>
                <c:pt idx="9">
                  <c:v>Changement de la langue d'affichage</c:v>
                </c:pt>
              </c:strCache>
            </c:strRef>
          </c:cat>
          <c:val>
            <c:numRef>
              <c:f>'Données '!$L$65:$L$74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4DBE-4715-9810-AC3C87680827}"/>
            </c:ext>
          </c:extLst>
        </c:ser>
        <c:ser>
          <c:idx val="2"/>
          <c:order val="2"/>
          <c:tx>
            <c:strRef>
              <c:f>'Données '!$M$64</c:f>
              <c:strCache>
                <c:ptCount val="1"/>
                <c:pt idx="0">
                  <c:v>Mineures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'Données '!$D$65:$D$74</c:f>
              <c:strCache>
                <c:ptCount val="10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  <c:pt idx="6">
                  <c:v>Consultation de l'état d'avancement</c:v>
                </c:pt>
                <c:pt idx="7">
                  <c:v>Envoi d'une demande d'information générale</c:v>
                </c:pt>
                <c:pt idx="8">
                  <c:v>Réception automatique de l'accusé de réception</c:v>
                </c:pt>
                <c:pt idx="9">
                  <c:v>Changement de la langue d'affichage</c:v>
                </c:pt>
              </c:strCache>
            </c:strRef>
          </c:cat>
          <c:val>
            <c:numRef>
              <c:f>'Données '!$M$65:$M$74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4DBE-4715-9810-AC3C8768082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387"/>
        <c:overlap val="-27"/>
        <c:axId val="151059840"/>
        <c:axId val="151058304"/>
      </c:barChart>
      <c:lineChart>
        <c:grouping val="standard"/>
        <c:varyColors val="0"/>
        <c:ser>
          <c:idx val="7"/>
          <c:order val="7"/>
          <c:tx>
            <c:strRef>
              <c:f>'Données '!$N$64</c:f>
              <c:strCache>
                <c:ptCount val="1"/>
                <c:pt idx="0">
                  <c:v>Objectif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29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'Données '!$D$65:$D$74</c:f>
              <c:strCache>
                <c:ptCount val="10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  <c:pt idx="6">
                  <c:v>Consultation de l'état d'avancement</c:v>
                </c:pt>
                <c:pt idx="7">
                  <c:v>Envoi d'une demande d'information générale</c:v>
                </c:pt>
                <c:pt idx="8">
                  <c:v>Réception automatique de l'accusé de réception</c:v>
                </c:pt>
                <c:pt idx="9">
                  <c:v>Changement de la langue d'affichage</c:v>
                </c:pt>
              </c:strCache>
            </c:strRef>
          </c:cat>
          <c:val>
            <c:numRef>
              <c:f>'Données '!$N$65:$N$74</c:f>
              <c:numCache>
                <c:formatCode>0%</c:formatCode>
                <c:ptCount val="10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580-4C3B-9CE9-693EAAF452A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1042304"/>
        <c:axId val="151056768"/>
      </c:lineChart>
      <c:catAx>
        <c:axId val="15104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1056768"/>
        <c:crosses val="autoZero"/>
        <c:auto val="1"/>
        <c:lblAlgn val="ctr"/>
        <c:lblOffset val="100"/>
        <c:noMultiLvlLbl val="0"/>
      </c:catAx>
      <c:valAx>
        <c:axId val="15105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1042304"/>
        <c:crosses val="autoZero"/>
        <c:crossBetween val="between"/>
      </c:valAx>
      <c:valAx>
        <c:axId val="151058304"/>
        <c:scaling>
          <c:orientation val="minMax"/>
          <c:max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1059840"/>
        <c:crosses val="max"/>
        <c:crossBetween val="between"/>
      </c:valAx>
      <c:catAx>
        <c:axId val="151059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1058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aseline="0"/>
              <a:t>LA CONFORMITE ACTUELLE DU PRODUIT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'Données '!$D$142</c:f>
              <c:strCache>
                <c:ptCount val="1"/>
                <c:pt idx="0">
                  <c:v>Conformes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4E8E-4328-8281-D5A0A8C2ED14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E8E-4328-8281-D5A0A8C2ED14}"/>
              </c:ext>
            </c:extLst>
          </c:dPt>
          <c:dLbls>
            <c:dLbl>
              <c:idx val="1"/>
              <c:layout>
                <c:manualLayout>
                  <c:x val="-7.2848866587809355E-2"/>
                  <c:y val="9.018718267538802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8E-4328-8281-D5A0A8C2ED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'Données '!$D$142:$D$143</c:f>
              <c:strCache>
                <c:ptCount val="2"/>
                <c:pt idx="0">
                  <c:v>Conformes</c:v>
                </c:pt>
                <c:pt idx="1">
                  <c:v>Non conformes</c:v>
                </c:pt>
              </c:strCache>
            </c:strRef>
          </c:cat>
          <c:val>
            <c:numRef>
              <c:f>'Données '!$F$142:$F$143</c:f>
              <c:numCache>
                <c:formatCode>0%</c:formatCode>
                <c:ptCount val="2"/>
                <c:pt idx="0">
                  <c:v>0.4</c:v>
                </c:pt>
                <c:pt idx="1">
                  <c:v>0.6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8E-4328-8281-D5A0A8C2ED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AVANCEMENT DES TESTS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DA5-4656-8D10-CCD8B568EA39}"/>
              </c:ext>
            </c:extLst>
          </c:dPt>
          <c:dPt>
            <c:idx val="1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DA5-4656-8D10-CCD8B568EA39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BD2-4A90-8306-ED1E891EFD0F}"/>
              </c:ext>
            </c:extLst>
          </c:dPt>
          <c:dLbls>
            <c:dLbl>
              <c:idx val="1"/>
              <c:layout>
                <c:manualLayout>
                  <c:x val="-0.10333694177542227"/>
                  <c:y val="-3.2177375884323602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0">
                    <a:spAutoFit/>
                  </a:bodyPr>
                  <a:lstStyle/>
                  <a:p>
                    <a:pPr marL="0" marR="0" lvl="0" indent="0" algn="ctr" defTabSz="914400" rtl="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 sz="900" b="0" i="0" u="none" strike="noStrike" kern="1200" baseline="0">
                        <a:solidFill>
                          <a:srgbClr val="7030A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417288B-27A1-4331-A549-DF3E25C23B0C}" type="CELLREF">
                      <a:rPr lang="en-US" sz="900" b="0" i="0" u="none" strike="noStrike" kern="1200" baseline="0">
                        <a:solidFill>
                          <a:srgbClr val="7030A0"/>
                        </a:solidFill>
                      </a:rPr>
                      <a:pPr marL="0" marR="0" lvl="0" indent="0" algn="ctr" defTabSz="914400" rtl="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 sz="900" b="0" i="0" u="none" strike="noStrike" kern="1200" baseline="0">
                          <a:solidFill>
                            <a:srgbClr val="7030A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[]</a:t>
                    </a:fld>
                    <a:endParaRPr lang="en-US" sz="900" b="0" i="0" u="none" strike="noStrike" kern="1200" baseline="0">
                      <a:solidFill>
                        <a:srgbClr val="7030A0"/>
                      </a:solidFill>
                    </a:endParaRPr>
                  </a:p>
                  <a:p>
                    <a:pPr marL="0" marR="0" lvl="0" indent="0" algn="ctr" defTabSz="914400" rtl="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 sz="900" b="0" i="0" u="none" strike="noStrike" kern="1200" baseline="0">
                        <a:solidFill>
                          <a:srgbClr val="7030A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rgbClr val="7030A0"/>
                        </a:solidFill>
                      </a:rPr>
                      <a:t> </a:t>
                    </a:r>
                    <a:fld id="{439FAC89-1690-473D-9E5D-F0879137BE7D}" type="CELLREF">
                      <a:rPr lang="en-US">
                        <a:solidFill>
                          <a:srgbClr val="7030A0"/>
                        </a:solidFill>
                      </a:rPr>
                      <a:pPr marL="0" marR="0" lvl="0" indent="0" algn="ctr" defTabSz="914400" rtl="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 sz="900" b="0" i="0" u="none" strike="noStrike" kern="1200" baseline="0">
                          <a:solidFill>
                            <a:srgbClr val="7030A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[]</a:t>
                    </a:fld>
                    <a:endParaRPr lang="en-US">
                      <a:solidFill>
                        <a:srgbClr val="7030A0"/>
                      </a:solidFill>
                    </a:endParaRPr>
                  </a:p>
                </c:rich>
              </c:tx>
              <c:spPr>
                <a:noFill/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20620676487771825"/>
                      <c:h val="0.12919849830467034"/>
                    </c:manualLayout>
                  </c15:layout>
                  <c15:dlblFieldTable>
                    <c15:dlblFTEntry>
                      <c15:txfldGUID>{F417288B-27A1-4331-A549-DF3E25C23B0C}</c15:txfldGUID>
                      <c15:f>'Données '!$D$162</c15:f>
                      <c15:dlblFieldTableCache>
                        <c:ptCount val="1"/>
                        <c:pt idx="0">
                          <c:v>Testé</c:v>
                        </c:pt>
                      </c15:dlblFieldTableCache>
                    </c15:dlblFTEntry>
                    <c15:dlblFTEntry>
                      <c15:txfldGUID>{439FAC89-1690-473D-9E5D-F0879137BE7D}</c15:txfldGUID>
                      <c15:f>'Données '!$F$162</c15:f>
                      <c15:dlblFieldTableCache>
                        <c:ptCount val="1"/>
                        <c:pt idx="0">
                          <c:v>100%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DA5-4656-8D10-CCD8B568EA39}"/>
                </c:ext>
              </c:extLst>
            </c:dLbl>
            <c:dLbl>
              <c:idx val="2"/>
              <c:layout>
                <c:manualLayout>
                  <c:x val="-1.4554482700450153E-2"/>
                  <c:y val="-9.653209708063248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BD2-4A90-8306-ED1E891EFD0F}"/>
                </c:ext>
              </c:extLst>
            </c:dLbl>
            <c:spPr>
              <a:noFill/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('Données '!$D$165,'Données '!$D$167:$D$168)</c:f>
              <c:strCache>
                <c:ptCount val="1"/>
                <c:pt idx="0">
                  <c:v>TOTAL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'!$D$165:$D$168</c15:sqref>
                  </c15:fullRef>
                </c:ext>
              </c:extLst>
            </c:strRef>
          </c:cat>
          <c:val>
            <c:numRef>
              <c:f>('Données '!$F$165,'Données '!$F$167:$F$168)</c:f>
              <c:numCache>
                <c:formatCode>General</c:formatCode>
                <c:ptCount val="3"/>
                <c:pt idx="0" formatCode="0%">
                  <c:v>1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'!$F$165:$F$168</c15:sqref>
                  </c15:fullRef>
                </c:ext>
              </c:extLst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9DA5-4656-8D10-CCD8B568E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165454092577285E-2"/>
          <c:y val="6.6959082622481264E-2"/>
          <c:w val="0.96769597312895828"/>
          <c:h val="0.83242458711219991"/>
        </c:manualLayout>
      </c:layout>
      <c:barChart>
        <c:barDir val="col"/>
        <c:grouping val="percentStacked"/>
        <c:varyColors val="0"/>
        <c:ser>
          <c:idx val="3"/>
          <c:order val="3"/>
          <c:tx>
            <c:strRef>
              <c:f>'Données '!$O$64</c:f>
              <c:strCache>
                <c:ptCount val="1"/>
                <c:pt idx="0">
                  <c:v>% OK</c:v>
                </c:pt>
              </c:strCache>
            </c:strRef>
          </c:tx>
          <c:spPr>
            <a:solidFill>
              <a:srgbClr val="86AE2C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74-4B7A-9C21-0D2AD90F2275}"/>
                </c:ext>
              </c:extLst>
            </c:dLbl>
            <c:dLbl>
              <c:idx val="4"/>
              <c:layout>
                <c:manualLayout>
                  <c:x val="-1.0962909929207597E-3"/>
                  <c:y val="-2.580832850697278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5F-4E7A-9C28-B16C414613DB}"/>
                </c:ext>
              </c:extLst>
            </c:dLbl>
            <c:dLbl>
              <c:idx val="5"/>
              <c:layout>
                <c:manualLayout>
                  <c:x val="-1.0962909929206793E-3"/>
                  <c:y val="-6.927498704503194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5F-4E7A-9C28-B16C41461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'Données '!$D$65:$D$70</c:f>
              <c:strCache>
                <c:ptCount val="6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'!$D$65:$D$74</c15:sqref>
                  </c15:fullRef>
                </c:ext>
              </c:extLst>
            </c:strRef>
          </c:cat>
          <c:val>
            <c:numRef>
              <c:f>'Données '!$O$65:$O$70</c:f>
              <c:numCache>
                <c:formatCode>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'!$O$65:$O$74</c15:sqref>
                  </c15:fullRef>
                </c:ext>
              </c:extLst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categoryFilterExceptions>
                <c15:categoryFilterException>
                  <c15:sqref>'Données '!$O$71</c15:sqref>
                  <c15:dLbl>
                    <c:idx val="5"/>
                    <c:layout>
                      <c:manualLayout>
                        <c:x val="-1.6078748819758211E-16"/>
                        <c:y val="-0.12360831021760613"/>
                      </c:manualLayout>
                    </c:layout>
                    <c:dLblPos val="ct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31CE-4BA7-9464-CDCF2CFAC534}"/>
                      </c:ext>
                    </c:extLst>
                  </c15:dLbl>
                </c15:categoryFilterException>
                <c15:categoryFilterException>
                  <c15:sqref>'Données '!$O$72</c15:sqref>
                  <c15:dLbl>
                    <c:idx val="5"/>
                    <c:layout>
                      <c:manualLayout>
                        <c:x val="-5.4814549646050041E-4"/>
                        <c:y val="-0.11953331097966308"/>
                      </c:manualLayout>
                    </c:layout>
                    <c:dLblPos val="ct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1-31CE-4BA7-9464-CDCF2CFAC534}"/>
                      </c:ext>
                    </c:extLst>
                  </c15:dLbl>
                </c15:categoryFilterException>
                <c15:categoryFilterException>
                  <c15:sqref>'Données '!$O$73</c15:sqref>
                  <c15:dLbl>
                    <c:idx val="5"/>
                    <c:layout>
                      <c:manualLayout>
                        <c:x val="-1.6444364893811799E-3"/>
                        <c:y val="-7.334998628297501E-2"/>
                      </c:manualLayout>
                    </c:layout>
                    <c:dLblPos val="ct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2-31CE-4BA7-9464-CDCF2CFAC534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C82A-439E-A8AE-496FB6F2BED2}"/>
            </c:ext>
          </c:extLst>
        </c:ser>
        <c:ser>
          <c:idx val="4"/>
          <c:order val="4"/>
          <c:tx>
            <c:strRef>
              <c:f>'Données '!$P$64</c:f>
              <c:strCache>
                <c:ptCount val="1"/>
                <c:pt idx="0">
                  <c:v>% KO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'Données '!$D$65:$D$70</c:f>
              <c:strCache>
                <c:ptCount val="6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'!$D$65:$D$74</c15:sqref>
                  </c15:fullRef>
                </c:ext>
              </c:extLst>
            </c:strRef>
          </c:cat>
          <c:val>
            <c:numRef>
              <c:f>'Données '!$P$65:$P$70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'!$P$65:$P$74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2A-439E-A8AE-496FB6F2BED2}"/>
            </c:ext>
          </c:extLst>
        </c:ser>
        <c:ser>
          <c:idx val="5"/>
          <c:order val="5"/>
          <c:tx>
            <c:strRef>
              <c:f>'Données '!$Q$64</c:f>
              <c:strCache>
                <c:ptCount val="1"/>
                <c:pt idx="0">
                  <c:v>% Non Testable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'Données '!$D$65:$D$70</c:f>
              <c:strCache>
                <c:ptCount val="6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'!$D$65:$D$74</c15:sqref>
                  </c15:fullRef>
                </c:ext>
              </c:extLst>
            </c:strRef>
          </c:cat>
          <c:val>
            <c:numRef>
              <c:f>'Données '!$Q$65:$Q$70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'!$Q$65:$Q$74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82A-439E-A8AE-496FB6F2BED2}"/>
            </c:ext>
          </c:extLst>
        </c:ser>
        <c:ser>
          <c:idx val="6"/>
          <c:order val="6"/>
          <c:tx>
            <c:strRef>
              <c:f>'Données '!$R$64</c:f>
              <c:strCache>
                <c:ptCount val="1"/>
                <c:pt idx="0">
                  <c:v>% Non Exécuté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'Données '!$D$65:$D$70</c:f>
              <c:strCache>
                <c:ptCount val="6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'!$D$65:$D$74</c15:sqref>
                  </c15:fullRef>
                </c:ext>
              </c:extLst>
            </c:strRef>
          </c:cat>
          <c:val>
            <c:numRef>
              <c:f>'Données '!$R$65:$R$70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'!$R$65:$R$74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82A-439E-A8AE-496FB6F2BED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55"/>
        <c:overlap val="100"/>
        <c:axId val="150028672"/>
        <c:axId val="188710272"/>
      </c:barChart>
      <c:barChart>
        <c:barDir val="col"/>
        <c:grouping val="clustered"/>
        <c:varyColors val="0"/>
        <c:ser>
          <c:idx val="0"/>
          <c:order val="0"/>
          <c:tx>
            <c:strRef>
              <c:f>'Données '!$K$64</c:f>
              <c:strCache>
                <c:ptCount val="1"/>
                <c:pt idx="0">
                  <c:v>Bloquantes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'Données '!$D$65:$D$70</c:f>
              <c:strCache>
                <c:ptCount val="6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'!$D$65:$D$74</c15:sqref>
                  </c15:fullRef>
                </c:ext>
              </c:extLst>
            </c:strRef>
          </c:cat>
          <c:val>
            <c:numRef>
              <c:f>'Données '!$K$65:$K$70</c:f>
              <c:numCache>
                <c:formatCode>General</c:formatCode>
                <c:ptCount val="6"/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'!$K$65:$K$74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82A-439E-A8AE-496FB6F2BED2}"/>
            </c:ext>
          </c:extLst>
        </c:ser>
        <c:ser>
          <c:idx val="1"/>
          <c:order val="1"/>
          <c:tx>
            <c:strRef>
              <c:f>'Données '!$L$64</c:f>
              <c:strCache>
                <c:ptCount val="1"/>
                <c:pt idx="0">
                  <c:v>Majeures</c:v>
                </c:pt>
              </c:strCache>
            </c:strRef>
          </c:tx>
          <c:spPr>
            <a:solidFill>
              <a:srgbClr val="FF99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'Données '!$D$65:$D$70</c:f>
              <c:strCache>
                <c:ptCount val="6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'!$D$65:$D$74</c15:sqref>
                  </c15:fullRef>
                </c:ext>
              </c:extLst>
            </c:strRef>
          </c:cat>
          <c:val>
            <c:numRef>
              <c:f>'Données '!$L$65:$L$70</c:f>
              <c:numCache>
                <c:formatCode>General</c:formatCode>
                <c:ptCount val="6"/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'!$L$65:$L$74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C82A-439E-A8AE-496FB6F2BED2}"/>
            </c:ext>
          </c:extLst>
        </c:ser>
        <c:ser>
          <c:idx val="2"/>
          <c:order val="2"/>
          <c:tx>
            <c:strRef>
              <c:f>'Données '!$M$64</c:f>
              <c:strCache>
                <c:ptCount val="1"/>
                <c:pt idx="0">
                  <c:v>Mineures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'Données '!$D$65:$D$70</c:f>
              <c:strCache>
                <c:ptCount val="6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'!$D$65:$D$74</c15:sqref>
                  </c15:fullRef>
                </c:ext>
              </c:extLst>
            </c:strRef>
          </c:cat>
          <c:val>
            <c:numRef>
              <c:f>'Données '!$M$65:$M$70</c:f>
              <c:numCache>
                <c:formatCode>General</c:formatCode>
                <c:ptCount val="6"/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'!$M$65:$M$74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82A-439E-A8AE-496FB6F2BED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87"/>
        <c:overlap val="-27"/>
        <c:axId val="150041344"/>
        <c:axId val="150031360"/>
      </c:barChart>
      <c:lineChart>
        <c:grouping val="standard"/>
        <c:varyColors val="0"/>
        <c:ser>
          <c:idx val="7"/>
          <c:order val="7"/>
          <c:tx>
            <c:strRef>
              <c:f>'Données '!$N$64</c:f>
              <c:strCache>
                <c:ptCount val="1"/>
                <c:pt idx="0">
                  <c:v>Objectif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62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'Données '!$D$65:$D$70</c:f>
              <c:strCache>
                <c:ptCount val="6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'!$D$65:$D$74</c15:sqref>
                  </c15:fullRef>
                </c:ext>
              </c:extLst>
            </c:strRef>
          </c:cat>
          <c:val>
            <c:numRef>
              <c:f>'Données '!$N$65:$N$70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'!$N$65:$N$74</c15:sqref>
                  </c15:fullRef>
                </c:ext>
              </c:extLst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C82A-439E-A8AE-496FB6F2BED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028672"/>
        <c:axId val="188710272"/>
      </c:lineChart>
      <c:catAx>
        <c:axId val="15002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8710272"/>
        <c:crosses val="autoZero"/>
        <c:auto val="1"/>
        <c:lblAlgn val="ctr"/>
        <c:lblOffset val="100"/>
        <c:noMultiLvlLbl val="0"/>
      </c:catAx>
      <c:valAx>
        <c:axId val="18871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0028672"/>
        <c:crosses val="autoZero"/>
        <c:crossBetween val="between"/>
      </c:valAx>
      <c:valAx>
        <c:axId val="150031360"/>
        <c:scaling>
          <c:orientation val="minMax"/>
          <c:max val="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0041344"/>
        <c:crosses val="max"/>
        <c:crossBetween val="between"/>
      </c:valAx>
      <c:catAx>
        <c:axId val="150041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00313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378722744166554"/>
          <c:y val="0.95126964034655681"/>
          <c:w val="0.35378855507595464"/>
          <c:h val="4.05803611775571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'Données '!$D$142</c:f>
              <c:strCache>
                <c:ptCount val="1"/>
                <c:pt idx="0">
                  <c:v>Conformes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66A-4652-BE9E-E5565419E8C8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66A-4652-BE9E-E5565419E8C8}"/>
              </c:ext>
            </c:extLst>
          </c:dPt>
          <c:dLbls>
            <c:dLbl>
              <c:idx val="0"/>
              <c:layout>
                <c:manualLayout>
                  <c:x val="-0.18460747604541822"/>
                  <c:y val="0.1345979169652320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0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66A-4652-BE9E-E5565419E8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'Données '!$D$142:$D$143</c:f>
              <c:strCache>
                <c:ptCount val="2"/>
                <c:pt idx="0">
                  <c:v>Conformes</c:v>
                </c:pt>
                <c:pt idx="1">
                  <c:v>Non conformes</c:v>
                </c:pt>
              </c:strCache>
            </c:strRef>
          </c:cat>
          <c:val>
            <c:numRef>
              <c:f>'Données '!$F$142:$F$143</c:f>
              <c:numCache>
                <c:formatCode>0%</c:formatCode>
                <c:ptCount val="2"/>
                <c:pt idx="0">
                  <c:v>0.4</c:v>
                </c:pt>
                <c:pt idx="1">
                  <c:v>0.6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66A-4652-BE9E-E5565419E8C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8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1C6-4117-8835-B8C92DFA766F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1C6-4117-8835-B8C92DFA766F}"/>
              </c:ext>
            </c:extLst>
          </c:dPt>
          <c:dPt>
            <c:idx val="2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1C6-4117-8835-B8C92DFA766F}"/>
              </c:ext>
            </c:extLst>
          </c:dPt>
          <c:dLbls>
            <c:dLbl>
              <c:idx val="1"/>
              <c:layout>
                <c:manualLayout>
                  <c:x val="-0.13468548569964206"/>
                  <c:y val="4.1552890299504583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0">
                    <a:spAutoFit/>
                  </a:bodyPr>
                  <a:lstStyle/>
                  <a:p>
                    <a:pPr marL="0" marR="0" lvl="0" indent="0" algn="ctr" defTabSz="914400" rtl="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 sz="16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417288B-27A1-4331-A549-DF3E25C23B0C}" type="CELLREF">
                      <a:rPr lang="en-US" sz="1600" b="0" i="0" u="none" strike="noStrike" kern="1200" baseline="0">
                        <a:solidFill>
                          <a:sysClr val="windowText" lastClr="000000"/>
                        </a:solidFill>
                      </a:rPr>
                      <a:pPr marL="0" marR="0" lvl="0" indent="0" algn="ctr" defTabSz="914400" rtl="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 sz="16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[]</a:t>
                    </a:fld>
                    <a:endParaRPr lang="en-US" sz="1600" b="0" i="0" u="none" strike="noStrike" kern="1200" baseline="0">
                      <a:solidFill>
                        <a:sysClr val="windowText" lastClr="000000"/>
                      </a:solidFill>
                    </a:endParaRPr>
                  </a:p>
                  <a:p>
                    <a:pPr marL="0" marR="0" lvl="0" indent="0" algn="ctr" defTabSz="914400" rtl="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 sz="16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600">
                        <a:solidFill>
                          <a:sysClr val="windowText" lastClr="000000"/>
                        </a:solidFill>
                      </a:rPr>
                      <a:t> </a:t>
                    </a:r>
                    <a:fld id="{439FAC89-1690-473D-9E5D-F0879137BE7D}" type="CELLREF">
                      <a:rPr lang="en-US" sz="1600">
                        <a:solidFill>
                          <a:sysClr val="windowText" lastClr="000000"/>
                        </a:solidFill>
                      </a:rPr>
                      <a:pPr marL="0" marR="0" lvl="0" indent="0" algn="ctr" defTabSz="914400" rtl="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 sz="16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[]</a:t>
                    </a:fld>
                    <a:endParaRPr lang="en-US" sz="1600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noFill/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20620676487771825"/>
                      <c:h val="0.12919849830467034"/>
                    </c:manualLayout>
                  </c15:layout>
                  <c15:dlblFieldTable>
                    <c15:dlblFTEntry>
                      <c15:txfldGUID>{F417288B-27A1-4331-A549-DF3E25C23B0C}</c15:txfldGUID>
                      <c15:f>'Données '!$D$162</c15:f>
                      <c15:dlblFieldTableCache>
                        <c:ptCount val="1"/>
                        <c:pt idx="0">
                          <c:v>Testé</c:v>
                        </c:pt>
                      </c15:dlblFieldTableCache>
                    </c15:dlblFTEntry>
                    <c15:dlblFTEntry>
                      <c15:txfldGUID>{439FAC89-1690-473D-9E5D-F0879137BE7D}</c15:txfldGUID>
                      <c15:f>'Données '!$F$162</c15:f>
                      <c15:dlblFieldTableCache>
                        <c:ptCount val="1"/>
                        <c:pt idx="0">
                          <c:v>100%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1C6-4117-8835-B8C92DFA766F}"/>
                </c:ext>
              </c:extLst>
            </c:dLbl>
            <c:dLbl>
              <c:idx val="2"/>
              <c:layout>
                <c:manualLayout>
                  <c:x val="-0.16417274761045472"/>
                  <c:y val="-9.6532093426132851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1C6-4117-8835-B8C92DFA766F}"/>
                </c:ext>
              </c:extLst>
            </c:dLbl>
            <c:spPr>
              <a:noFill/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('Données '!$D$165,'Données '!$D$167:$D$168)</c:f>
              <c:strCache>
                <c:ptCount val="1"/>
                <c:pt idx="0">
                  <c:v>TOTAL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'!$D$165:$D$168</c15:sqref>
                  </c15:fullRef>
                </c:ext>
              </c:extLst>
            </c:strRef>
          </c:cat>
          <c:val>
            <c:numRef>
              <c:f>('Données '!$F$165,'Données '!$F$167:$F$168)</c:f>
              <c:numCache>
                <c:formatCode>General</c:formatCode>
                <c:ptCount val="3"/>
                <c:pt idx="0" formatCode="0%">
                  <c:v>1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'!$F$165:$F$168</c15:sqref>
                  </c15:fullRef>
                </c:ext>
              </c:extLst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11C6-4117-8835-B8C92DFA7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165454092577285E-2"/>
          <c:y val="6.6959082622481264E-2"/>
          <c:w val="0.96769597312895828"/>
          <c:h val="0.83242458711219991"/>
        </c:manualLayout>
      </c:layout>
      <c:barChart>
        <c:barDir val="col"/>
        <c:grouping val="percentStacked"/>
        <c:varyColors val="0"/>
        <c:ser>
          <c:idx val="3"/>
          <c:order val="3"/>
          <c:tx>
            <c:strRef>
              <c:f>'Données '!$O$64</c:f>
              <c:strCache>
                <c:ptCount val="1"/>
                <c:pt idx="0">
                  <c:v>% OK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1.0962909929207597E-3"/>
                  <c:y val="-2.580832850697278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8E8-4BBE-BD63-4F7C8570298F}"/>
                </c:ext>
              </c:extLst>
            </c:dLbl>
            <c:dLbl>
              <c:idx val="5"/>
              <c:layout>
                <c:manualLayout>
                  <c:x val="-1.0962909929206793E-3"/>
                  <c:y val="-6.927498704503194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E8-4BBE-BD63-4F7C8570298F}"/>
                </c:ext>
              </c:extLst>
            </c:dLbl>
            <c:dLbl>
              <c:idx val="6"/>
              <c:layout>
                <c:manualLayout>
                  <c:x val="-1.6078748819758211E-16"/>
                  <c:y val="-0.1236083102176061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AA1-4D7D-A229-3BD5C6584A0B}"/>
                </c:ext>
              </c:extLst>
            </c:dLbl>
            <c:dLbl>
              <c:idx val="7"/>
              <c:layout>
                <c:manualLayout>
                  <c:x val="-5.4814549646050041E-4"/>
                  <c:y val="-0.1195333109796630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AA1-4D7D-A229-3BD5C6584A0B}"/>
                </c:ext>
              </c:extLst>
            </c:dLbl>
            <c:dLbl>
              <c:idx val="8"/>
              <c:layout>
                <c:manualLayout>
                  <c:x val="-1.6444364893811799E-3"/>
                  <c:y val="-7.33499862829750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A1-4D7D-A229-3BD5C6584A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'Données '!$D$65:$D$74</c:f>
              <c:strCache>
                <c:ptCount val="10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  <c:pt idx="6">
                  <c:v>Consultation de l'état d'avancement</c:v>
                </c:pt>
                <c:pt idx="7">
                  <c:v>Envoi d'une demande d'information générale</c:v>
                </c:pt>
                <c:pt idx="8">
                  <c:v>Réception automatique de l'accusé de réception</c:v>
                </c:pt>
                <c:pt idx="9">
                  <c:v>Changement de la langue d'affichage</c:v>
                </c:pt>
              </c:strCache>
            </c:strRef>
          </c:cat>
          <c:val>
            <c:numRef>
              <c:f>'Données '!$O$65:$O$74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18E8-4BBE-BD63-4F7C8570298F}"/>
            </c:ext>
          </c:extLst>
        </c:ser>
        <c:ser>
          <c:idx val="4"/>
          <c:order val="4"/>
          <c:tx>
            <c:strRef>
              <c:f>'Données '!$P$64</c:f>
              <c:strCache>
                <c:ptCount val="1"/>
                <c:pt idx="0">
                  <c:v>% KO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'Données '!$D$65:$D$74</c:f>
              <c:strCache>
                <c:ptCount val="10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  <c:pt idx="6">
                  <c:v>Consultation de l'état d'avancement</c:v>
                </c:pt>
                <c:pt idx="7">
                  <c:v>Envoi d'une demande d'information générale</c:v>
                </c:pt>
                <c:pt idx="8">
                  <c:v>Réception automatique de l'accusé de réception</c:v>
                </c:pt>
                <c:pt idx="9">
                  <c:v>Changement de la langue d'affichage</c:v>
                </c:pt>
              </c:strCache>
            </c:strRef>
          </c:cat>
          <c:val>
            <c:numRef>
              <c:f>'Données '!$P$65:$P$74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18E8-4BBE-BD63-4F7C8570298F}"/>
            </c:ext>
          </c:extLst>
        </c:ser>
        <c:ser>
          <c:idx val="5"/>
          <c:order val="5"/>
          <c:tx>
            <c:strRef>
              <c:f>'Données '!$Q$64</c:f>
              <c:strCache>
                <c:ptCount val="1"/>
                <c:pt idx="0">
                  <c:v>% Non Testable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'Données '!$D$65:$D$74</c:f>
              <c:strCache>
                <c:ptCount val="10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  <c:pt idx="6">
                  <c:v>Consultation de l'état d'avancement</c:v>
                </c:pt>
                <c:pt idx="7">
                  <c:v>Envoi d'une demande d'information générale</c:v>
                </c:pt>
                <c:pt idx="8">
                  <c:v>Réception automatique de l'accusé de réception</c:v>
                </c:pt>
                <c:pt idx="9">
                  <c:v>Changement de la langue d'affichage</c:v>
                </c:pt>
              </c:strCache>
            </c:strRef>
          </c:cat>
          <c:val>
            <c:numRef>
              <c:f>'Données '!$Q$65:$Q$74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18E8-4BBE-BD63-4F7C8570298F}"/>
            </c:ext>
          </c:extLst>
        </c:ser>
        <c:ser>
          <c:idx val="6"/>
          <c:order val="6"/>
          <c:tx>
            <c:strRef>
              <c:f>'Données '!$R$64</c:f>
              <c:strCache>
                <c:ptCount val="1"/>
                <c:pt idx="0">
                  <c:v>% Non Exécuté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'Données '!$D$65:$D$74</c:f>
              <c:strCache>
                <c:ptCount val="10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  <c:pt idx="6">
                  <c:v>Consultation de l'état d'avancement</c:v>
                </c:pt>
                <c:pt idx="7">
                  <c:v>Envoi d'une demande d'information générale</c:v>
                </c:pt>
                <c:pt idx="8">
                  <c:v>Réception automatique de l'accusé de réception</c:v>
                </c:pt>
                <c:pt idx="9">
                  <c:v>Changement de la langue d'affichage</c:v>
                </c:pt>
              </c:strCache>
            </c:strRef>
          </c:cat>
          <c:val>
            <c:numRef>
              <c:f>'Données '!$R$65:$R$74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18E8-4BBE-BD63-4F7C8570298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55"/>
        <c:overlap val="100"/>
        <c:axId val="151638016"/>
        <c:axId val="151639936"/>
      </c:barChart>
      <c:barChart>
        <c:barDir val="col"/>
        <c:grouping val="clustered"/>
        <c:varyColors val="0"/>
        <c:ser>
          <c:idx val="0"/>
          <c:order val="0"/>
          <c:tx>
            <c:strRef>
              <c:f>'Données '!$K$64</c:f>
              <c:strCache>
                <c:ptCount val="1"/>
                <c:pt idx="0">
                  <c:v>Bloquantes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'Données '!$D$65:$D$74</c:f>
              <c:strCache>
                <c:ptCount val="10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  <c:pt idx="6">
                  <c:v>Consultation de l'état d'avancement</c:v>
                </c:pt>
                <c:pt idx="7">
                  <c:v>Envoi d'une demande d'information générale</c:v>
                </c:pt>
                <c:pt idx="8">
                  <c:v>Réception automatique de l'accusé de réception</c:v>
                </c:pt>
                <c:pt idx="9">
                  <c:v>Changement de la langue d'affichage</c:v>
                </c:pt>
              </c:strCache>
            </c:strRef>
          </c:cat>
          <c:val>
            <c:numRef>
              <c:f>'Données '!$K$65:$K$74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18E8-4BBE-BD63-4F7C8570298F}"/>
            </c:ext>
          </c:extLst>
        </c:ser>
        <c:ser>
          <c:idx val="1"/>
          <c:order val="1"/>
          <c:tx>
            <c:strRef>
              <c:f>'Données '!$L$64</c:f>
              <c:strCache>
                <c:ptCount val="1"/>
                <c:pt idx="0">
                  <c:v>Majeures</c:v>
                </c:pt>
              </c:strCache>
            </c:strRef>
          </c:tx>
          <c:spPr>
            <a:solidFill>
              <a:srgbClr val="FF99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'Données '!$D$65:$D$74</c:f>
              <c:strCache>
                <c:ptCount val="10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  <c:pt idx="6">
                  <c:v>Consultation de l'état d'avancement</c:v>
                </c:pt>
                <c:pt idx="7">
                  <c:v>Envoi d'une demande d'information générale</c:v>
                </c:pt>
                <c:pt idx="8">
                  <c:v>Réception automatique de l'accusé de réception</c:v>
                </c:pt>
                <c:pt idx="9">
                  <c:v>Changement de la langue d'affichage</c:v>
                </c:pt>
              </c:strCache>
            </c:strRef>
          </c:cat>
          <c:val>
            <c:numRef>
              <c:f>'Données '!$L$65:$L$74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18E8-4BBE-BD63-4F7C8570298F}"/>
            </c:ext>
          </c:extLst>
        </c:ser>
        <c:ser>
          <c:idx val="2"/>
          <c:order val="2"/>
          <c:tx>
            <c:strRef>
              <c:f>'Données '!$M$64</c:f>
              <c:strCache>
                <c:ptCount val="1"/>
                <c:pt idx="0">
                  <c:v>Mineures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'Données '!$D$65:$D$74</c:f>
              <c:strCache>
                <c:ptCount val="10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  <c:pt idx="6">
                  <c:v>Consultation de l'état d'avancement</c:v>
                </c:pt>
                <c:pt idx="7">
                  <c:v>Envoi d'une demande d'information générale</c:v>
                </c:pt>
                <c:pt idx="8">
                  <c:v>Réception automatique de l'accusé de réception</c:v>
                </c:pt>
                <c:pt idx="9">
                  <c:v>Changement de la langue d'affichage</c:v>
                </c:pt>
              </c:strCache>
            </c:strRef>
          </c:cat>
          <c:val>
            <c:numRef>
              <c:f>'Données '!$M$65:$M$74</c:f>
              <c:numCache>
                <c:formatCode>General</c:formatCode>
                <c:ptCount val="1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18E8-4BBE-BD63-4F7C8570298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87"/>
        <c:overlap val="-27"/>
        <c:axId val="151659648"/>
        <c:axId val="151641472"/>
      </c:barChart>
      <c:lineChart>
        <c:grouping val="standard"/>
        <c:varyColors val="0"/>
        <c:ser>
          <c:idx val="7"/>
          <c:order val="7"/>
          <c:tx>
            <c:strRef>
              <c:f>'Données '!$N$64</c:f>
              <c:strCache>
                <c:ptCount val="1"/>
                <c:pt idx="0">
                  <c:v>Objectif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62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strRef>
              <c:f>'Données '!$D$65:$D$74</c:f>
              <c:strCache>
                <c:ptCount val="10"/>
                <c:pt idx="0">
                  <c:v>Saisie du formulaire d'inscription client
</c:v>
                </c:pt>
                <c:pt idx="1">
                  <c:v>Vérification automatique de l'identité (OCR)</c:v>
                </c:pt>
                <c:pt idx="2">
                  <c:v>Signature numérique du contrat</c:v>
                </c:pt>
                <c:pt idx="3">
                  <c:v>Mise à jour des coordonnées de contact</c:v>
                </c:pt>
                <c:pt idx="4">
                  <c:v>Demande d'ajustement de puissance électrique</c:v>
                </c:pt>
                <c:pt idx="5">
                  <c:v>Soumission du dossier technique de branchement</c:v>
                </c:pt>
                <c:pt idx="6">
                  <c:v>Consultation de l'état d'avancement</c:v>
                </c:pt>
                <c:pt idx="7">
                  <c:v>Envoi d'une demande d'information générale</c:v>
                </c:pt>
                <c:pt idx="8">
                  <c:v>Réception automatique de l'accusé de réception</c:v>
                </c:pt>
                <c:pt idx="9">
                  <c:v>Changement de la langue d'affichage</c:v>
                </c:pt>
              </c:strCache>
            </c:strRef>
          </c:cat>
          <c:val>
            <c:numRef>
              <c:f>'Données '!$N$65:$N$74</c:f>
              <c:numCache>
                <c:formatCode>0%</c:formatCode>
                <c:ptCount val="10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18E8-4BBE-BD63-4F7C8570298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1638016"/>
        <c:axId val="151639936"/>
      </c:lineChart>
      <c:catAx>
        <c:axId val="1516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1639936"/>
        <c:crosses val="autoZero"/>
        <c:auto val="1"/>
        <c:lblAlgn val="ctr"/>
        <c:lblOffset val="100"/>
        <c:noMultiLvlLbl val="0"/>
      </c:catAx>
      <c:valAx>
        <c:axId val="15163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1638016"/>
        <c:crosses val="autoZero"/>
        <c:crossBetween val="between"/>
      </c:valAx>
      <c:valAx>
        <c:axId val="151641472"/>
        <c:scaling>
          <c:orientation val="minMax"/>
          <c:max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1659648"/>
        <c:crosses val="max"/>
        <c:crossBetween val="between"/>
      </c:valAx>
      <c:catAx>
        <c:axId val="151659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1641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378722744166554"/>
          <c:y val="0.95126964034655681"/>
          <c:w val="0.35378855507595464"/>
          <c:h val="4.05803611775571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'Données '!$D$142</c:f>
              <c:strCache>
                <c:ptCount val="1"/>
                <c:pt idx="0">
                  <c:v>Conformes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B35-4898-BF0A-14F032F864EB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B35-4898-BF0A-14F032F864EB}"/>
              </c:ext>
            </c:extLst>
          </c:dPt>
          <c:dLbls>
            <c:dLbl>
              <c:idx val="0"/>
              <c:layout>
                <c:manualLayout>
                  <c:x val="-0.163106254320907"/>
                  <c:y val="0.1742861211778690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8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B35-4898-BF0A-14F032F864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'Données '!$D$142:$D$143</c:f>
              <c:strCache>
                <c:ptCount val="2"/>
                <c:pt idx="0">
                  <c:v>Conformes</c:v>
                </c:pt>
                <c:pt idx="1">
                  <c:v>Non conformes</c:v>
                </c:pt>
              </c:strCache>
            </c:strRef>
          </c:cat>
          <c:val>
            <c:numRef>
              <c:f>'Données '!$F$142:$F$143</c:f>
              <c:numCache>
                <c:formatCode>0%</c:formatCode>
                <c:ptCount val="2"/>
                <c:pt idx="0">
                  <c:v>0.4</c:v>
                </c:pt>
                <c:pt idx="1">
                  <c:v>0.6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B35-4898-BF0A-14F032F864E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8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8C6-4EFA-9129-BB739754D927}"/>
              </c:ext>
            </c:extLst>
          </c:dPt>
          <c:dPt>
            <c:idx val="1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8C6-4EFA-9129-BB739754D927}"/>
              </c:ext>
            </c:extLst>
          </c:dPt>
          <c:dPt>
            <c:idx val="2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8C6-4EFA-9129-BB739754D927}"/>
              </c:ext>
            </c:extLst>
          </c:dPt>
          <c:dLbls>
            <c:dLbl>
              <c:idx val="1"/>
              <c:layout>
                <c:manualLayout>
                  <c:x val="-0.10333694177542227"/>
                  <c:y val="-3.2177375884323602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0">
                    <a:spAutoFit/>
                  </a:bodyPr>
                  <a:lstStyle/>
                  <a:p>
                    <a:pPr marL="0" marR="0" lvl="0" indent="0" algn="ctr" defTabSz="914400" rtl="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 sz="16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417288B-27A1-4331-A549-DF3E25C23B0C}" type="CELLREF">
                      <a:rPr lang="en-US" sz="1600" b="0" i="0" u="none" strike="noStrike" kern="1200" baseline="0">
                        <a:solidFill>
                          <a:sysClr val="windowText" lastClr="000000"/>
                        </a:solidFill>
                      </a:rPr>
                      <a:pPr marL="0" marR="0" lvl="0" indent="0" algn="ctr" defTabSz="914400" rtl="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 sz="16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[]</a:t>
                    </a:fld>
                    <a:endParaRPr lang="en-US" sz="1600" b="0" i="0" u="none" strike="noStrike" kern="1200" baseline="0">
                      <a:solidFill>
                        <a:sysClr val="windowText" lastClr="000000"/>
                      </a:solidFill>
                    </a:endParaRPr>
                  </a:p>
                  <a:p>
                    <a:pPr marL="0" marR="0" lvl="0" indent="0" algn="ctr" defTabSz="914400" rtl="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 sz="16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600">
                        <a:solidFill>
                          <a:sysClr val="windowText" lastClr="000000"/>
                        </a:solidFill>
                      </a:rPr>
                      <a:t> </a:t>
                    </a:r>
                    <a:fld id="{439FAC89-1690-473D-9E5D-F0879137BE7D}" type="CELLREF">
                      <a:rPr lang="en-US" sz="1600">
                        <a:solidFill>
                          <a:sysClr val="windowText" lastClr="000000"/>
                        </a:solidFill>
                      </a:rPr>
                      <a:pPr marL="0" marR="0" lvl="0" indent="0" algn="ctr" defTabSz="914400" rtl="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 sz="16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[]</a:t>
                    </a:fld>
                    <a:endParaRPr lang="en-US" sz="1600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noFill/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20620676487771825"/>
                      <c:h val="0.12919849830467034"/>
                    </c:manualLayout>
                  </c15:layout>
                  <c15:dlblFieldTable>
                    <c15:dlblFTEntry>
                      <c15:txfldGUID>{F417288B-27A1-4331-A549-DF3E25C23B0C}</c15:txfldGUID>
                      <c15:f>'Données '!$D$162</c15:f>
                      <c15:dlblFieldTableCache>
                        <c:ptCount val="1"/>
                        <c:pt idx="0">
                          <c:v>Testé</c:v>
                        </c:pt>
                      </c15:dlblFieldTableCache>
                    </c15:dlblFTEntry>
                    <c15:dlblFTEntry>
                      <c15:txfldGUID>{439FAC89-1690-473D-9E5D-F0879137BE7D}</c15:txfldGUID>
                      <c15:f>'Données '!$F$162</c15:f>
                      <c15:dlblFieldTableCache>
                        <c:ptCount val="1"/>
                        <c:pt idx="0">
                          <c:v>100%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8C6-4EFA-9129-BB739754D927}"/>
                </c:ext>
              </c:extLst>
            </c:dLbl>
            <c:dLbl>
              <c:idx val="2"/>
              <c:layout>
                <c:manualLayout>
                  <c:x val="-1.4554482700450153E-2"/>
                  <c:y val="-9.653209708063248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8C6-4EFA-9129-BB739754D927}"/>
                </c:ext>
              </c:extLst>
            </c:dLbl>
            <c:spPr>
              <a:noFill/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('Données '!$D$161,'Données '!$D$163:$D$164)</c:f>
              <c:strCache>
                <c:ptCount val="3"/>
                <c:pt idx="0">
                  <c:v>OK</c:v>
                </c:pt>
                <c:pt idx="1">
                  <c:v>Testé </c:v>
                </c:pt>
                <c:pt idx="2">
                  <c:v>A tester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'!$D$161:$D$164</c15:sqref>
                  </c15:fullRef>
                </c:ext>
              </c:extLst>
            </c:strRef>
          </c:cat>
          <c:val>
            <c:numRef>
              <c:f>('Données '!$F$161,'Données '!$F$163:$F$164)</c:f>
              <c:numCache>
                <c:formatCode>0%</c:formatCode>
                <c:ptCount val="3"/>
                <c:pt idx="0">
                  <c:v>0.92307692307692313</c:v>
                </c:pt>
                <c:pt idx="1">
                  <c:v>7.6923076923076872E-2</c:v>
                </c:pt>
                <c:pt idx="2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'Données '!$F$161:$F$164</c15:sqref>
                  </c15:fullRef>
                </c:ext>
              </c:extLst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38C6-4EFA-9129-BB739754D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series layoutId="treemap" uniqueId="{7E0AAA80-EA61-4E42-99B9-50938B7FB604}"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fr-FR" sz="900" b="0" i="0" u="none" strike="noStrike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1" value="0"/>
            <cx:dataLabel idx="0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1800" b="1">
                      <a:solidFill>
                        <a:sysClr val="windowText" lastClr="000000"/>
                      </a:solidFill>
                    </a:defRPr>
                  </a:pPr>
                  <a:r>
                    <a:rPr lang="fr-FR" sz="1800" b="1" i="0" u="none" strike="noStrike" baseline="0">
                      <a:solidFill>
                        <a:sysClr val="windowText" lastClr="000000"/>
                      </a:solidFill>
                      <a:latin typeface="Calibri" panose="020F0502020204030204"/>
                    </a:rPr>
                    <a:t>Gestion des Nouveaux Contrats (Service 1)</a:t>
                  </a:r>
                </a:p>
              </cx:txPr>
              <cx:visibility seriesName="0" categoryName="1" value="0"/>
            </cx:dataLabel>
            <cx:dataLabel idx="15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1400">
                      <a:solidFill>
                        <a:srgbClr val="FF0000"/>
                      </a:solidFill>
                    </a:defRPr>
                  </a:pPr>
                  <a:r>
                    <a:rPr lang="fr-FR" sz="1400" b="0" i="0" u="none" strike="noStrike" baseline="0">
                      <a:solidFill>
                        <a:srgbClr val="FF0000"/>
                      </a:solidFill>
                      <a:latin typeface="Calibri" panose="020F0502020204030204"/>
                    </a:rPr>
                    <a:t>Story 7</a:t>
                  </a:r>
                </a:p>
              </cx:txPr>
              <cx:visibility seriesName="0" categoryName="1" value="0"/>
            </cx:dataLabel>
          </cx:dataLabels>
          <cx:dataId val="0"/>
          <cx:layoutPr>
            <cx:parentLabelLayout val="overlapping"/>
          </cx:layoutPr>
        </cx:series>
      </cx:plotAreaRegion>
    </cx:plotArea>
    <cx:legend pos="t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Périmètre fonctionnel du produit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fr-FR" sz="5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Périmètre fonctionnel du produit</a:t>
          </a:r>
        </a:p>
      </cx:txPr>
    </cx:title>
    <cx:plotArea>
      <cx:plotAreaRegion>
        <cx:series layoutId="treemap" uniqueId="{7E0AAA80-EA61-4E42-99B9-50938B7FB604}"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200"/>
                </a:pPr>
                <a:endParaRPr lang="fr-FR" sz="12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  <cx:dataLabel idx="0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5400">
                      <a:solidFill>
                        <a:srgbClr val="FF0000"/>
                      </a:solidFill>
                    </a:defRPr>
                  </a:pPr>
                  <a:r>
                    <a:rPr lang="fr-FR" sz="5400" b="0" i="0" u="none" strike="noStrike" baseline="0">
                      <a:solidFill>
                        <a:srgbClr val="FF0000"/>
                      </a:solidFill>
                      <a:latin typeface="Calibri" panose="020F0502020204030204"/>
                    </a:rPr>
                    <a:t>Recherche</a:t>
                  </a:r>
                </a:p>
              </cx:txPr>
              <cx:visibility seriesName="0" categoryName="1" value="0"/>
            </cx:dataLabel>
          </cx:dataLabels>
          <cx:dataId val="0"/>
          <cx:layoutPr>
            <cx:parentLabelLayout val="overlapping"/>
          </cx:layoutPr>
        </cx:series>
      </cx:plotAreaRegion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800"/>
          </a:pPr>
          <a:endParaRPr lang="fr-FR" sz="18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size">
        <cx:f>_xlchart.v1.5</cx:f>
      </cx:numDim>
    </cx:data>
  </cx:chartData>
  <cx:chart>
    <cx:plotArea>
      <cx:plotAreaRegion>
        <cx:series layoutId="treemap" uniqueId="{7E0AAA80-EA61-4E42-99B9-50938B7FB604}">
          <cx:spPr>
            <a:solidFill>
              <a:schemeClr val="accent2">
                <a:lumMod val="75000"/>
              </a:schemeClr>
            </a:solidFill>
          </cx:spPr>
          <cx:dataPt idx="3">
            <cx:spPr>
              <a:solidFill>
                <a:srgbClr val="9BBB59">
                  <a:lumMod val="60000"/>
                  <a:lumOff val="40000"/>
                </a:srgbClr>
              </a:solidFill>
            </cx:spPr>
          </cx:dataPt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200"/>
                </a:pPr>
                <a:endParaRPr lang="fr-FR" sz="12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  <cx:dataLabel idx="0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5400" b="0">
                      <a:solidFill>
                        <a:schemeClr val="tx1"/>
                      </a:solidFill>
                    </a:defRPr>
                  </a:pPr>
                  <a:r>
                    <a:rPr lang="fr-FR" sz="5400" b="0" i="0" u="none" strike="noStrike" baseline="0">
                      <a:solidFill>
                        <a:schemeClr val="tx1"/>
                      </a:solidFill>
                      <a:latin typeface="Calibri" panose="020F0502020204030204"/>
                    </a:rPr>
                    <a:t>Recherche</a:t>
                  </a:r>
                </a:p>
              </cx:txPr>
              <cx:visibility seriesName="0" categoryName="1" value="0"/>
            </cx:dataLabel>
            <cx:dataLabel idx="3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1200" b="0">
                      <a:solidFill>
                        <a:schemeClr val="bg1"/>
                      </a:solidFill>
                    </a:defRPr>
                  </a:pPr>
                  <a:r>
                    <a:rPr lang="fr-FR" sz="1200" b="0" i="0" u="none" strike="noStrike" baseline="0">
                      <a:solidFill>
                        <a:schemeClr val="bg1"/>
                      </a:solidFill>
                      <a:latin typeface="Calibri" panose="020F0502020204030204"/>
                    </a:rPr>
                    <a:t>S'inscrire</a:t>
                  </a:r>
                </a:p>
              </cx:txPr>
              <cx:visibility seriesName="0" categoryName="1" value="0"/>
            </cx:dataLabel>
            <cx:dataLabel idx="15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2000">
                      <a:solidFill>
                        <a:sysClr val="windowText" lastClr="000000"/>
                      </a:solidFill>
                    </a:defRPr>
                  </a:pPr>
                  <a:r>
                    <a:rPr lang="fr-FR" sz="2000" b="0" i="0" u="none" strike="noStrike" baseline="0">
                      <a:solidFill>
                        <a:sysClr val="windowText" lastClr="000000"/>
                      </a:solidFill>
                      <a:latin typeface="Calibri" panose="020F0502020204030204"/>
                    </a:rPr>
                    <a:t>Story 7</a:t>
                  </a:r>
                </a:p>
              </cx:txPr>
              <cx:visibility seriesName="0" categoryName="1" value="0"/>
            </cx:dataLabel>
            <cx:dataLabel idx="16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2000">
                      <a:solidFill>
                        <a:sysClr val="windowText" lastClr="000000"/>
                      </a:solidFill>
                    </a:defRPr>
                  </a:pPr>
                  <a:r>
                    <a:rPr lang="fr-FR" sz="2000" b="0" i="0" u="none" strike="noStrike" baseline="0">
                      <a:solidFill>
                        <a:sysClr val="windowText" lastClr="000000"/>
                      </a:solidFill>
                      <a:latin typeface="Calibri" panose="020F0502020204030204"/>
                    </a:rPr>
                    <a:t>Story 9</a:t>
                  </a:r>
                </a:p>
              </cx:txPr>
              <cx:visibility seriesName="0" categoryName="1" value="0"/>
            </cx:dataLabel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size">
        <cx:f>_xlchart.v1.7</cx:f>
      </cx:numDim>
    </cx:data>
  </cx:chartData>
  <cx:chart>
    <cx:plotArea>
      <cx:plotAreaRegion>
        <cx:series layoutId="treemap" uniqueId="{7E0AAA80-EA61-4E42-99B9-50938B7FB604}">
          <cx:spPr>
            <a:solidFill>
              <a:schemeClr val="accent2"/>
            </a:solidFill>
          </cx:spPr>
          <cx:dataPt idx="1">
            <cx:spPr>
              <a:solidFill>
                <a:srgbClr val="9BBB59"/>
              </a:solidFill>
            </cx:spPr>
          </cx:dataPt>
          <cx:dataPt idx="2">
            <cx:spPr>
              <a:solidFill>
                <a:srgbClr val="9BBB59"/>
              </a:solidFill>
            </cx:spPr>
          </cx:dataPt>
          <cx:dataPt idx="3">
            <cx:spPr>
              <a:solidFill>
                <a:srgbClr val="9BBB59"/>
              </a:solidFill>
            </cx:spPr>
          </cx:dataPt>
          <cx:dataPt idx="16">
            <cx:spPr>
              <a:solidFill>
                <a:srgbClr val="9BBB59"/>
              </a:solidFill>
            </cx:spPr>
          </cx:dataPt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200"/>
                </a:pPr>
                <a:endParaRPr lang="fr-FR" sz="12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  <cx:dataLabel idx="0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2000" b="0">
                      <a:solidFill>
                        <a:schemeClr val="tx1"/>
                      </a:solidFill>
                    </a:defRPr>
                  </a:pPr>
                  <a:r>
                    <a:rPr lang="fr-FR" sz="2000" b="0" i="0" u="none" strike="noStrike" baseline="0">
                      <a:solidFill>
                        <a:schemeClr val="tx1"/>
                      </a:solidFill>
                      <a:latin typeface="Calibri" panose="020F0502020204030204"/>
                    </a:rPr>
                    <a:t>Recherche</a:t>
                  </a:r>
                </a:p>
              </cx:txPr>
              <cx:visibility seriesName="0" categoryName="1" value="0"/>
            </cx:dataLabel>
            <cx:dataLabel idx="3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2000" b="0">
                      <a:solidFill>
                        <a:schemeClr val="tx1"/>
                      </a:solidFill>
                    </a:defRPr>
                  </a:pPr>
                  <a:r>
                    <a:rPr lang="fr-FR" sz="2000" b="0" i="0" u="none" strike="noStrike" baseline="0">
                      <a:solidFill>
                        <a:schemeClr val="tx1"/>
                      </a:solidFill>
                      <a:latin typeface="Calibri" panose="020F0502020204030204"/>
                    </a:rPr>
                    <a:t>S'inscrire</a:t>
                  </a:r>
                </a:p>
              </cx:txPr>
              <cx:visibility seriesName="0" categoryName="1" value="0"/>
            </cx:dataLabel>
            <cx:dataLabel idx="15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2000">
                      <a:solidFill>
                        <a:sysClr val="windowText" lastClr="000000"/>
                      </a:solidFill>
                    </a:defRPr>
                  </a:pPr>
                  <a:r>
                    <a:rPr lang="fr-FR" sz="2000" b="0" i="0" u="none" strike="noStrike" baseline="0">
                      <a:solidFill>
                        <a:sysClr val="windowText" lastClr="000000"/>
                      </a:solidFill>
                      <a:latin typeface="Calibri" panose="020F0502020204030204"/>
                    </a:rPr>
                    <a:t>Story 7</a:t>
                  </a:r>
                </a:p>
              </cx:txPr>
              <cx:visibility seriesName="0" categoryName="1" value="0"/>
            </cx:dataLabel>
            <cx:dataLabel idx="16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2000">
                      <a:solidFill>
                        <a:sysClr val="windowText" lastClr="000000"/>
                      </a:solidFill>
                    </a:defRPr>
                  </a:pPr>
                  <a:r>
                    <a:rPr lang="fr-FR" sz="2000" b="0" i="0" u="none" strike="noStrike" baseline="0">
                      <a:solidFill>
                        <a:sysClr val="windowText" lastClr="000000"/>
                      </a:solidFill>
                      <a:latin typeface="Calibri" panose="020F0502020204030204"/>
                    </a:rPr>
                    <a:t>Story 9</a:t>
                  </a:r>
                </a:p>
              </cx:txPr>
              <cx:visibility seriesName="0" categoryName="1" value="0"/>
            </cx:dataLabel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_xlchart.v1.8</cx:f>
      </cx:strDim>
      <cx:numDim type="size">
        <cx:f>_xlchart.v1.9</cx:f>
      </cx:numDim>
    </cx:data>
  </cx:chartData>
  <cx:chart>
    <cx:plotArea>
      <cx:plotAreaRegion>
        <cx:series layoutId="treemap" uniqueId="{7E0AAA80-EA61-4E42-99B9-50938B7FB604}">
          <cx:spPr>
            <a:solidFill>
              <a:schemeClr val="accent2"/>
            </a:solidFill>
          </cx:spPr>
          <cx:dataPt idx="1">
            <cx:spPr>
              <a:solidFill>
                <a:srgbClr val="9BBB59"/>
              </a:solidFill>
            </cx:spPr>
          </cx:dataPt>
          <cx:dataPt idx="2">
            <cx:spPr>
              <a:solidFill>
                <a:srgbClr val="9BBB59"/>
              </a:solidFill>
            </cx:spPr>
          </cx:dataPt>
          <cx:dataPt idx="3">
            <cx:spPr>
              <a:solidFill>
                <a:srgbClr val="9BBB59"/>
              </a:solidFill>
            </cx:spPr>
          </cx:dataPt>
          <cx:dataPt idx="16">
            <cx:spPr>
              <a:solidFill>
                <a:srgbClr val="9BBB59"/>
              </a:solidFill>
            </cx:spPr>
          </cx:dataPt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200"/>
                </a:pPr>
                <a:endParaRPr lang="fr-FR" sz="12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  <cx:dataLabel idx="0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2000" b="0">
                      <a:solidFill>
                        <a:schemeClr val="tx1"/>
                      </a:solidFill>
                    </a:defRPr>
                  </a:pPr>
                  <a:r>
                    <a:rPr lang="fr-FR" sz="2000" b="0" i="0" u="none" strike="noStrike" baseline="0">
                      <a:solidFill>
                        <a:schemeClr val="tx1"/>
                      </a:solidFill>
                      <a:latin typeface="Calibri" panose="020F0502020204030204"/>
                    </a:rPr>
                    <a:t>Recherche</a:t>
                  </a:r>
                </a:p>
              </cx:txPr>
              <cx:visibility seriesName="0" categoryName="1" value="0"/>
            </cx:dataLabel>
            <cx:dataLabel idx="3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2000" b="0">
                      <a:solidFill>
                        <a:schemeClr val="tx1"/>
                      </a:solidFill>
                    </a:defRPr>
                  </a:pPr>
                  <a:r>
                    <a:rPr lang="fr-FR" sz="2000" b="0" i="0" u="none" strike="noStrike" baseline="0">
                      <a:solidFill>
                        <a:schemeClr val="tx1"/>
                      </a:solidFill>
                      <a:latin typeface="Calibri" panose="020F0502020204030204"/>
                    </a:rPr>
                    <a:t>S'inscrire</a:t>
                  </a:r>
                </a:p>
              </cx:txPr>
              <cx:visibility seriesName="0" categoryName="1" value="0"/>
            </cx:dataLabel>
            <cx:dataLabel idx="15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2000">
                      <a:solidFill>
                        <a:sysClr val="windowText" lastClr="000000"/>
                      </a:solidFill>
                    </a:defRPr>
                  </a:pPr>
                  <a:r>
                    <a:rPr lang="fr-FR" sz="2000" b="0" i="0" u="none" strike="noStrike" baseline="0">
                      <a:solidFill>
                        <a:sysClr val="windowText" lastClr="000000"/>
                      </a:solidFill>
                      <a:latin typeface="Calibri" panose="020F0502020204030204"/>
                    </a:rPr>
                    <a:t>Story 7</a:t>
                  </a:r>
                </a:p>
              </cx:txPr>
              <cx:visibility seriesName="0" categoryName="1" value="0"/>
            </cx:dataLabel>
            <cx:dataLabel idx="16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2000">
                      <a:solidFill>
                        <a:sysClr val="windowText" lastClr="000000"/>
                      </a:solidFill>
                    </a:defRPr>
                  </a:pPr>
                  <a:r>
                    <a:rPr lang="fr-FR" sz="2000" b="0" i="0" u="none" strike="noStrike" baseline="0">
                      <a:solidFill>
                        <a:sysClr val="windowText" lastClr="000000"/>
                      </a:solidFill>
                      <a:latin typeface="Calibri" panose="020F0502020204030204"/>
                    </a:rPr>
                    <a:t>Story 9</a:t>
                  </a:r>
                </a:p>
              </cx:txPr>
              <cx:visibility seriesName="0" categoryName="1" value="0"/>
            </cx:dataLabel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_xlchart.v1.10</cx:f>
      </cx:strDim>
      <cx:numDim type="size">
        <cx:f>_xlchart.v1.11</cx:f>
      </cx:numDim>
    </cx:data>
  </cx:chartData>
  <cx:chart>
    <cx:plotArea>
      <cx:plotAreaRegion>
        <cx:series layoutId="treemap" uniqueId="{7E0AAA80-EA61-4E42-99B9-50938B7FB604}">
          <cx:spPr>
            <a:solidFill>
              <a:schemeClr val="accent2"/>
            </a:solidFill>
          </cx:spPr>
          <cx:dataPt idx="1">
            <cx:spPr>
              <a:solidFill>
                <a:srgbClr val="9BBB59"/>
              </a:solidFill>
            </cx:spPr>
          </cx:dataPt>
          <cx:dataPt idx="2">
            <cx:spPr>
              <a:solidFill>
                <a:srgbClr val="9BBB59"/>
              </a:solidFill>
            </cx:spPr>
          </cx:dataPt>
          <cx:dataPt idx="3">
            <cx:spPr>
              <a:solidFill>
                <a:srgbClr val="9BBB59"/>
              </a:solidFill>
            </cx:spPr>
          </cx:dataPt>
          <cx:dataPt idx="15">
            <cx:spPr>
              <a:solidFill>
                <a:srgbClr val="9BBB59"/>
              </a:solidFill>
            </cx:spPr>
          </cx:dataPt>
          <cx:dataPt idx="16">
            <cx:spPr>
              <a:solidFill>
                <a:srgbClr val="9BBB59"/>
              </a:solidFill>
            </cx:spPr>
          </cx:dataPt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200"/>
                </a:pPr>
                <a:endParaRPr lang="fr-FR" sz="12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  <cx:dataLabel idx="0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2000" b="0">
                      <a:solidFill>
                        <a:schemeClr val="tx1"/>
                      </a:solidFill>
                    </a:defRPr>
                  </a:pPr>
                  <a:r>
                    <a:rPr lang="fr-FR" sz="2000" b="0" i="0" u="none" strike="noStrike" baseline="0">
                      <a:solidFill>
                        <a:schemeClr val="tx1"/>
                      </a:solidFill>
                      <a:latin typeface="Calibri" panose="020F0502020204030204"/>
                    </a:rPr>
                    <a:t>Recherche</a:t>
                  </a:r>
                </a:p>
              </cx:txPr>
              <cx:visibility seriesName="0" categoryName="1" value="0"/>
            </cx:dataLabel>
            <cx:dataLabel idx="3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2000" b="0">
                      <a:solidFill>
                        <a:schemeClr val="tx1"/>
                      </a:solidFill>
                    </a:defRPr>
                  </a:pPr>
                  <a:r>
                    <a:rPr lang="fr-FR" sz="2000" b="0" i="0" u="none" strike="noStrike" baseline="0">
                      <a:solidFill>
                        <a:schemeClr val="tx1"/>
                      </a:solidFill>
                      <a:latin typeface="Calibri" panose="020F0502020204030204"/>
                    </a:rPr>
                    <a:t>S'inscrire</a:t>
                  </a:r>
                </a:p>
              </cx:txPr>
              <cx:visibility seriesName="0" categoryName="1" value="0"/>
            </cx:dataLabel>
            <cx:dataLabel idx="15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2000">
                      <a:solidFill>
                        <a:sysClr val="windowText" lastClr="000000"/>
                      </a:solidFill>
                    </a:defRPr>
                  </a:pPr>
                  <a:r>
                    <a:rPr lang="fr-FR" sz="2000" b="0" i="0" u="none" strike="noStrike" baseline="0">
                      <a:solidFill>
                        <a:sysClr val="windowText" lastClr="000000"/>
                      </a:solidFill>
                      <a:latin typeface="Calibri" panose="020F0502020204030204"/>
                    </a:rPr>
                    <a:t>Story 7</a:t>
                  </a:r>
                </a:p>
              </cx:txPr>
              <cx:visibility seriesName="0" categoryName="1" value="0"/>
            </cx:dataLabel>
            <cx:dataLabel idx="16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2000">
                      <a:solidFill>
                        <a:sysClr val="windowText" lastClr="000000"/>
                      </a:solidFill>
                    </a:defRPr>
                  </a:pPr>
                  <a:r>
                    <a:rPr lang="fr-FR" sz="2000" b="0" i="0" u="none" strike="noStrike" baseline="0">
                      <a:solidFill>
                        <a:sysClr val="windowText" lastClr="000000"/>
                      </a:solidFill>
                      <a:latin typeface="Calibri" panose="020F0502020204030204"/>
                    </a:rPr>
                    <a:t>Story 9</a:t>
                  </a:r>
                </a:p>
              </cx:txPr>
              <cx:visibility seriesName="0" categoryName="1" value="0"/>
            </cx:dataLabel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_xlchart.v1.13</cx:f>
      </cx:strDim>
      <cx:numDim type="size">
        <cx:f>_xlchart.v1.15</cx:f>
      </cx:numDim>
    </cx:data>
  </cx:chartData>
  <cx:chart>
    <cx:plotArea>
      <cx:plotAreaRegion>
        <cx:series layoutId="treemap" uniqueId="{7E0AAA80-EA61-4E42-99B9-50938B7FB604}">
          <cx:spPr>
            <a:solidFill>
              <a:srgbClr val="00B050"/>
            </a:solidFill>
          </cx:spPr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400">
                    <a:solidFill>
                      <a:sysClr val="windowText" lastClr="000000"/>
                    </a:solidFill>
                  </a:defRPr>
                </a:pPr>
                <a:endParaRPr lang="fr-FR" sz="1400" b="0" i="0" u="none" strike="noStrike" baseline="0">
                  <a:solidFill>
                    <a:sysClr val="windowText" lastClr="000000"/>
                  </a:solidFill>
                  <a:latin typeface="Calibri" panose="020F0502020204030204"/>
                </a:endParaRPr>
              </a:p>
            </cx:txPr>
            <cx:visibility seriesName="0" categoryName="1" value="0"/>
            <cx:dataLabel idx="0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2000" b="0">
                      <a:solidFill>
                        <a:schemeClr val="tx1"/>
                      </a:solidFill>
                    </a:defRPr>
                  </a:pPr>
                  <a:r>
                    <a:rPr lang="fr-FR" sz="2000" b="0" i="0" u="none" strike="noStrike" baseline="0">
                      <a:solidFill>
                        <a:schemeClr val="tx1"/>
                      </a:solidFill>
                      <a:latin typeface="Calibri" panose="020F0502020204030204"/>
                    </a:rPr>
                    <a:t>Gestion des Nouveaux Contrats (Service 1)</a:t>
                  </a:r>
                </a:p>
              </cx:txPr>
              <cx:visibility seriesName="0" categoryName="1" value="0"/>
            </cx:dataLabel>
            <cx:dataLabel idx="3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2000" b="0">
                      <a:solidFill>
                        <a:schemeClr val="tx1"/>
                      </a:solidFill>
                    </a:defRPr>
                  </a:pPr>
                  <a:r>
                    <a:rPr lang="fr-FR" sz="2000" b="0" i="0" u="none" strike="noStrike" baseline="0">
                      <a:solidFill>
                        <a:schemeClr val="tx1"/>
                      </a:solidFill>
                      <a:latin typeface="Calibri" panose="020F0502020204030204"/>
                    </a:rPr>
                    <a:t>Signature numérique du contrat</a:t>
                  </a:r>
                </a:p>
              </cx:txPr>
              <cx:visibility seriesName="0" categoryName="1" value="0"/>
            </cx:dataLabel>
            <cx:dataLabel idx="15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2000">
                      <a:solidFill>
                        <a:sysClr val="windowText" lastClr="000000"/>
                      </a:solidFill>
                    </a:defRPr>
                  </a:pPr>
                  <a:r>
                    <a:rPr lang="fr-FR" sz="2000" b="0" i="0" u="none" strike="noStrike" baseline="0">
                      <a:solidFill>
                        <a:sysClr val="windowText" lastClr="000000"/>
                      </a:solidFill>
                      <a:latin typeface="Calibri" panose="020F0502020204030204"/>
                    </a:rPr>
                    <a:t>Story 7</a:t>
                  </a:r>
                </a:p>
              </cx:txPr>
              <cx:visibility seriesName="0" categoryName="1" value="0"/>
            </cx:dataLabel>
            <cx:dataLabel idx="16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2000">
                      <a:solidFill>
                        <a:sysClr val="windowText" lastClr="000000"/>
                      </a:solidFill>
                    </a:defRPr>
                  </a:pPr>
                  <a:r>
                    <a:rPr lang="fr-FR" sz="2000" b="0" i="0" u="none" strike="noStrike" baseline="0">
                      <a:solidFill>
                        <a:sysClr val="windowText" lastClr="000000"/>
                      </a:solidFill>
                      <a:latin typeface="Calibri" panose="020F0502020204030204"/>
                    </a:rPr>
                    <a:t>Story 9</a:t>
                  </a:r>
                </a:p>
              </cx:txPr>
              <cx:visibility seriesName="0" categoryName="1" value="0"/>
            </cx:dataLabel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5.xml"/><Relationship Id="rId7" Type="http://schemas.microsoft.com/office/2014/relationships/chartEx" Target="../charts/chartEx6.xml"/><Relationship Id="rId2" Type="http://schemas.microsoft.com/office/2014/relationships/chartEx" Target="../charts/chartEx2.xml"/><Relationship Id="rId1" Type="http://schemas.openxmlformats.org/officeDocument/2006/relationships/chart" Target="../charts/chart4.xml"/><Relationship Id="rId6" Type="http://schemas.microsoft.com/office/2014/relationships/chartEx" Target="../charts/chartEx5.xml"/><Relationship Id="rId5" Type="http://schemas.microsoft.com/office/2014/relationships/chartEx" Target="../charts/chartEx4.xml"/><Relationship Id="rId4" Type="http://schemas.microsoft.com/office/2014/relationships/chartEx" Target="../charts/chartEx3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7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1006079</xdr:colOff>
      <xdr:row>84</xdr:row>
      <xdr:rowOff>11906</xdr:rowOff>
    </xdr:from>
    <xdr:to>
      <xdr:col>19</xdr:col>
      <xdr:colOff>684609</xdr:colOff>
      <xdr:row>112</xdr:row>
      <xdr:rowOff>125016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702211</xdr:colOff>
      <xdr:row>2</xdr:row>
      <xdr:rowOff>138046</xdr:rowOff>
    </xdr:from>
    <xdr:to>
      <xdr:col>22</xdr:col>
      <xdr:colOff>398859</xdr:colOff>
      <xdr:row>35</xdr:row>
      <xdr:rowOff>71438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4" name="Graphique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3" name="Rectangle 2"/>
            <xdr:cNvSpPr>
              <a:spLocks noTextEdit="1"/>
            </xdr:cNvSpPr>
          </xdr:nvSpPr>
          <xdr:spPr>
            <a:xfrm>
              <a:off x="0" y="0"/>
              <a:ext cx="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</xdr:col>
      <xdr:colOff>751719</xdr:colOff>
      <xdr:row>139</xdr:row>
      <xdr:rowOff>4835</xdr:rowOff>
    </xdr:from>
    <xdr:to>
      <xdr:col>11</xdr:col>
      <xdr:colOff>839389</xdr:colOff>
      <xdr:row>155</xdr:row>
      <xdr:rowOff>53578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12629</xdr:colOff>
      <xdr:row>159</xdr:row>
      <xdr:rowOff>3611</xdr:rowOff>
    </xdr:from>
    <xdr:to>
      <xdr:col>11</xdr:col>
      <xdr:colOff>839390</xdr:colOff>
      <xdr:row>176</xdr:row>
      <xdr:rowOff>125016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617871</xdr:colOff>
      <xdr:row>67</xdr:row>
      <xdr:rowOff>92423</xdr:rowOff>
    </xdr:from>
    <xdr:to>
      <xdr:col>31</xdr:col>
      <xdr:colOff>164902</xdr:colOff>
      <xdr:row>118</xdr:row>
      <xdr:rowOff>168233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225593</xdr:colOff>
      <xdr:row>2</xdr:row>
      <xdr:rowOff>131594</xdr:rowOff>
    </xdr:from>
    <xdr:to>
      <xdr:col>31</xdr:col>
      <xdr:colOff>61232</xdr:colOff>
      <xdr:row>49</xdr:row>
      <xdr:rowOff>81642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3" name="Graphique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3" name="Rectangle 2"/>
            <xdr:cNvSpPr>
              <a:spLocks noTextEdit="1"/>
            </xdr:cNvSpPr>
          </xdr:nvSpPr>
          <xdr:spPr>
            <a:xfrm>
              <a:off x="0" y="0"/>
              <a:ext cx="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</xdr:col>
      <xdr:colOff>532277</xdr:colOff>
      <xdr:row>133</xdr:row>
      <xdr:rowOff>154944</xdr:rowOff>
    </xdr:from>
    <xdr:to>
      <xdr:col>13</xdr:col>
      <xdr:colOff>544287</xdr:colOff>
      <xdr:row>171</xdr:row>
      <xdr:rowOff>47625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186</xdr:row>
      <xdr:rowOff>0</xdr:rowOff>
    </xdr:from>
    <xdr:to>
      <xdr:col>27</xdr:col>
      <xdr:colOff>169194</xdr:colOff>
      <xdr:row>236</xdr:row>
      <xdr:rowOff>68932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8" name="Graphique 7">
              <a:extLst>
                <a:ext uri="{FF2B5EF4-FFF2-40B4-BE49-F238E27FC236}">
                  <a16:creationId xmlns:a16="http://schemas.microsoft.com/office/drawing/2014/main" id="{334DA662-3E2F-4B3B-BC1F-2C6F4740F77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4" name="Rectangle 3"/>
            <xdr:cNvSpPr>
              <a:spLocks noTextEdit="1"/>
            </xdr:cNvSpPr>
          </xdr:nvSpPr>
          <xdr:spPr>
            <a:xfrm>
              <a:off x="0" y="0"/>
              <a:ext cx="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318</xdr:row>
      <xdr:rowOff>0</xdr:rowOff>
    </xdr:from>
    <xdr:to>
      <xdr:col>27</xdr:col>
      <xdr:colOff>169194</xdr:colOff>
      <xdr:row>368</xdr:row>
      <xdr:rowOff>68932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11" name="Graphique 10">
              <a:extLst>
                <a:ext uri="{FF2B5EF4-FFF2-40B4-BE49-F238E27FC236}">
                  <a16:creationId xmlns:a16="http://schemas.microsoft.com/office/drawing/2014/main" id="{E642A8A5-F959-40E2-9BDF-A94C447E64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5" name="Rectangle 4"/>
            <xdr:cNvSpPr>
              <a:spLocks noTextEdit="1"/>
            </xdr:cNvSpPr>
          </xdr:nvSpPr>
          <xdr:spPr>
            <a:xfrm>
              <a:off x="0" y="0"/>
              <a:ext cx="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378</xdr:row>
      <xdr:rowOff>0</xdr:rowOff>
    </xdr:from>
    <xdr:to>
      <xdr:col>27</xdr:col>
      <xdr:colOff>169194</xdr:colOff>
      <xdr:row>428</xdr:row>
      <xdr:rowOff>68933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12" name="Graphique 11">
              <a:extLst>
                <a:ext uri="{FF2B5EF4-FFF2-40B4-BE49-F238E27FC236}">
                  <a16:creationId xmlns:a16="http://schemas.microsoft.com/office/drawing/2014/main" id="{92A1E795-1E15-4D80-8695-E8728411A6A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7" name="Rectangle 6"/>
            <xdr:cNvSpPr>
              <a:spLocks noTextEdit="1"/>
            </xdr:cNvSpPr>
          </xdr:nvSpPr>
          <xdr:spPr>
            <a:xfrm>
              <a:off x="0" y="0"/>
              <a:ext cx="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437</xdr:row>
      <xdr:rowOff>0</xdr:rowOff>
    </xdr:from>
    <xdr:to>
      <xdr:col>27</xdr:col>
      <xdr:colOff>169194</xdr:colOff>
      <xdr:row>487</xdr:row>
      <xdr:rowOff>68933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13" name="Graphique 12">
              <a:extLst>
                <a:ext uri="{FF2B5EF4-FFF2-40B4-BE49-F238E27FC236}">
                  <a16:creationId xmlns:a16="http://schemas.microsoft.com/office/drawing/2014/main" id="{7C128B14-4357-49B3-A91B-40E9A48EB4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8" name="Rectangle 7"/>
            <xdr:cNvSpPr>
              <a:spLocks noTextEdit="1"/>
            </xdr:cNvSpPr>
          </xdr:nvSpPr>
          <xdr:spPr>
            <a:xfrm>
              <a:off x="0" y="0"/>
              <a:ext cx="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14</xdr:col>
      <xdr:colOff>585106</xdr:colOff>
      <xdr:row>133</xdr:row>
      <xdr:rowOff>183694</xdr:rowOff>
    </xdr:from>
    <xdr:to>
      <xdr:col>26</xdr:col>
      <xdr:colOff>353785</xdr:colOff>
      <xdr:row>171</xdr:row>
      <xdr:rowOff>88445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xmlns="" id="{58DB7EE8-ABDA-4521-97E3-BEDFA9490D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346365</xdr:colOff>
      <xdr:row>1</xdr:row>
      <xdr:rowOff>164523</xdr:rowOff>
    </xdr:from>
    <xdr:to>
      <xdr:col>25</xdr:col>
      <xdr:colOff>632114</xdr:colOff>
      <xdr:row>38</xdr:row>
      <xdr:rowOff>60613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xmlns="" id="{30ECBA19-EF2F-43FE-B5D5-B916A37968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</xdr:row>
      <xdr:rowOff>164524</xdr:rowOff>
    </xdr:from>
    <xdr:to>
      <xdr:col>37</xdr:col>
      <xdr:colOff>545524</xdr:colOff>
      <xdr:row>38</xdr:row>
      <xdr:rowOff>121227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xmlns="" id="{29FBC90B-27BC-4A3D-9B37-8B2F4977C5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303068</xdr:colOff>
      <xdr:row>38</xdr:row>
      <xdr:rowOff>147204</xdr:rowOff>
    </xdr:from>
    <xdr:to>
      <xdr:col>25</xdr:col>
      <xdr:colOff>632114</xdr:colOff>
      <xdr:row>83</xdr:row>
      <xdr:rowOff>121228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9" name="Graphique 8">
              <a:extLst>
                <a:ext uri="{FF2B5EF4-FFF2-40B4-BE49-F238E27FC236}">
                  <a16:creationId xmlns:a16="http://schemas.microsoft.com/office/drawing/2014/main" id="{11584B4B-65E5-47EA-BB64-5DB42EA99548}"/>
                </a:ext>
                <a:ext uri="{147F2762-F138-4A5C-976F-8EAC2B608ADB}">
                  <a16:predDERef xmlns:a16="http://schemas.microsoft.com/office/drawing/2014/main" pred="{29FBC90B-27BC-4A3D-9B37-8B2F4977C5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2" name="Rectangle 1"/>
            <xdr:cNvSpPr>
              <a:spLocks noTextEdit="1"/>
            </xdr:cNvSpPr>
          </xdr:nvSpPr>
          <xdr:spPr>
            <a:xfrm>
              <a:off x="0" y="0"/>
              <a:ext cx="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39</xdr:row>
      <xdr:rowOff>8658</xdr:rowOff>
    </xdr:from>
    <xdr:to>
      <xdr:col>37</xdr:col>
      <xdr:colOff>545523</xdr:colOff>
      <xdr:row>83</xdr:row>
      <xdr:rowOff>129885</xdr:rowOff>
    </xdr:to>
    <xdr:graphicFrame macro="">
      <xdr:nvGraphicFramePr>
        <xdr:cNvPr id="12" name="Chart 8">
          <a:extLst>
            <a:ext uri="{FF2B5EF4-FFF2-40B4-BE49-F238E27FC236}">
              <a16:creationId xmlns:a16="http://schemas.microsoft.com/office/drawing/2014/main" xmlns="" id="{B69DBF90-7885-4384-B963-4277ADCF85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69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0AD8924-8DC0-414A-B2E9-7742CA406E99}">
  <we:reference id="wa104168603" version="1.0.0.6" store="fr-FR" storeType="OMEX"/>
  <we:alternateReferences>
    <we:reference id="WA104168603" version="1.0.0.6" store="WA104168603" storeType="OMEX"/>
  </we:alternateReferences>
  <we:properties>
    <we:property name="savedSettings" value="{&quot;state&quot;:{&quot;seed&quot;:134256,&quot;currentseed&quot;:null,&quot;powerbi&quot;:{&quot;datasetId&quot;:null,&quot;tableName&quot;:null,&quot;datasetName&quot;:null},&quot;powerBILoaded&quot;:false,&quot;VisualizationName&quot;:&quot;Tree Map&quot;,&quot;category&quot;:&quot;Country&quot;,&quot;aggregate&quot;:&quot;Sum&quot;,&quot;measure&quot;:&quot;Sales_Amount&quot;},&quot;date&quot;:&quot;Thu, 16 Mar 2017 17:56:31 GMT&quot;,&quot;appVersion&quot;:&quot;1.140.6206.22452, 28-12-2016 12:28:24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M165"/>
  <sheetViews>
    <sheetView tabSelected="1" topLeftCell="A94" zoomScale="85" zoomScaleNormal="85" workbookViewId="0">
      <selection activeCell="H77" sqref="H77"/>
    </sheetView>
  </sheetViews>
  <sheetFormatPr baseColWidth="10" defaultColWidth="11.453125" defaultRowHeight="14.5" x14ac:dyDescent="0.35"/>
  <cols>
    <col min="1" max="1" width="19.81640625" customWidth="1"/>
    <col min="3" max="3" width="36.54296875" bestFit="1" customWidth="1"/>
    <col min="4" max="4" width="64.81640625" bestFit="1" customWidth="1"/>
    <col min="5" max="5" width="10.1796875" customWidth="1"/>
    <col min="8" max="8" width="13.1796875" bestFit="1" customWidth="1"/>
    <col min="9" max="9" width="12.7265625" bestFit="1" customWidth="1"/>
    <col min="11" max="11" width="13" bestFit="1" customWidth="1"/>
    <col min="12" max="12" width="12.453125" bestFit="1" customWidth="1"/>
    <col min="14" max="14" width="11.26953125" bestFit="1" customWidth="1"/>
    <col min="15" max="15" width="10.7265625" customWidth="1"/>
  </cols>
  <sheetData>
    <row r="1" spans="1:23" x14ac:dyDescent="0.35">
      <c r="A1" s="40" t="s">
        <v>0</v>
      </c>
      <c r="B1" s="40"/>
    </row>
    <row r="3" spans="1:23" ht="16.5" customHeight="1" x14ac:dyDescent="0.35">
      <c r="B3" s="8"/>
      <c r="C3" s="8" t="s">
        <v>1</v>
      </c>
      <c r="D3" s="8" t="s">
        <v>2</v>
      </c>
      <c r="E3" s="8" t="s">
        <v>3</v>
      </c>
      <c r="F3" s="70" t="s">
        <v>4</v>
      </c>
      <c r="G3" s="70" t="s">
        <v>5</v>
      </c>
      <c r="H3" s="70" t="s">
        <v>6</v>
      </c>
      <c r="I3" s="70" t="s">
        <v>7</v>
      </c>
      <c r="J3" s="53" t="s">
        <v>8</v>
      </c>
      <c r="K3" s="54" t="s">
        <v>9</v>
      </c>
      <c r="Q3" s="13"/>
      <c r="U3" s="7"/>
      <c r="V3" s="9"/>
      <c r="W3" s="13"/>
    </row>
    <row r="4" spans="1:23" ht="27" customHeight="1" x14ac:dyDescent="0.35">
      <c r="B4" s="30"/>
      <c r="C4" s="71" t="s">
        <v>10</v>
      </c>
      <c r="D4" s="72" t="s">
        <v>11</v>
      </c>
      <c r="E4" s="37">
        <v>1</v>
      </c>
      <c r="F4" s="39">
        <f>'Données '!S65</f>
        <v>1</v>
      </c>
      <c r="G4" s="29">
        <f>SUM('Données '!O65:Q65)</f>
        <v>1</v>
      </c>
      <c r="H4" s="29">
        <f>'Données '!O65+'Données '!Q65</f>
        <v>1</v>
      </c>
      <c r="I4" s="29">
        <f>'Données '!P65+'Données '!R65</f>
        <v>0</v>
      </c>
      <c r="J4" s="55">
        <f t="shared" ref="J4:J9" si="0">H4*$E4</f>
        <v>1</v>
      </c>
      <c r="K4" s="56">
        <f t="shared" ref="K4:K9" si="1">I4*$E4</f>
        <v>0</v>
      </c>
      <c r="Q4" s="2"/>
      <c r="U4" s="7"/>
      <c r="V4" s="9"/>
      <c r="W4" s="13"/>
    </row>
    <row r="5" spans="1:23" x14ac:dyDescent="0.35">
      <c r="B5" s="30"/>
      <c r="C5" s="42"/>
      <c r="D5" s="43" t="s">
        <v>12</v>
      </c>
      <c r="E5" s="37">
        <v>2</v>
      </c>
      <c r="F5" s="39">
        <f>'Données '!S66</f>
        <v>1</v>
      </c>
      <c r="G5" s="29">
        <f>SUM('Données '!O66:Q66)</f>
        <v>1</v>
      </c>
      <c r="H5" s="29">
        <f>'Données '!O66+'Données '!Q66</f>
        <v>1</v>
      </c>
      <c r="I5" s="29">
        <f>'Données '!P66+'Données '!R66</f>
        <v>0</v>
      </c>
      <c r="J5" s="55">
        <f t="shared" si="0"/>
        <v>2</v>
      </c>
      <c r="K5" s="56">
        <f t="shared" si="1"/>
        <v>0</v>
      </c>
      <c r="Q5" s="13"/>
      <c r="U5" s="7"/>
      <c r="V5" s="9"/>
      <c r="W5" s="13"/>
    </row>
    <row r="6" spans="1:23" ht="16.5" customHeight="1" x14ac:dyDescent="0.35">
      <c r="B6" s="30"/>
      <c r="C6" s="42"/>
      <c r="D6" s="43" t="s">
        <v>13</v>
      </c>
      <c r="E6" s="37">
        <v>1</v>
      </c>
      <c r="F6" s="39">
        <f>'Données '!S67</f>
        <v>1</v>
      </c>
      <c r="G6" s="29">
        <f>SUM('Données '!O67:Q67)</f>
        <v>1</v>
      </c>
      <c r="H6" s="29">
        <f>'Données '!O67+'Données '!Q67</f>
        <v>1</v>
      </c>
      <c r="I6" s="29">
        <f>'Données '!P67+'Données '!R67</f>
        <v>0</v>
      </c>
      <c r="J6" s="55">
        <f t="shared" si="0"/>
        <v>1</v>
      </c>
      <c r="K6" s="56">
        <f t="shared" si="1"/>
        <v>0</v>
      </c>
      <c r="Q6" s="2"/>
      <c r="U6" s="7"/>
      <c r="V6" s="9"/>
      <c r="W6" s="13"/>
    </row>
    <row r="7" spans="1:23" ht="33.75" customHeight="1" x14ac:dyDescent="0.35">
      <c r="B7" s="30"/>
      <c r="C7" s="71" t="s">
        <v>14</v>
      </c>
      <c r="D7" s="43" t="s">
        <v>15</v>
      </c>
      <c r="E7" s="37">
        <v>1</v>
      </c>
      <c r="F7" s="39">
        <f>'Données '!S68</f>
        <v>0</v>
      </c>
      <c r="G7" s="29">
        <f>SUM('Données '!O68:Q68)</f>
        <v>1</v>
      </c>
      <c r="H7" s="29">
        <f>'Données '!O76+'Données '!Q76</f>
        <v>0</v>
      </c>
      <c r="I7" s="29">
        <f>'Données '!P76+'Données '!R76</f>
        <v>0</v>
      </c>
      <c r="J7" s="55">
        <f t="shared" si="0"/>
        <v>0</v>
      </c>
      <c r="K7" s="56">
        <f t="shared" si="1"/>
        <v>0</v>
      </c>
      <c r="Q7" s="2"/>
    </row>
    <row r="8" spans="1:23" x14ac:dyDescent="0.35">
      <c r="B8" s="30"/>
      <c r="C8" s="42"/>
      <c r="D8" s="43" t="s">
        <v>16</v>
      </c>
      <c r="E8" s="37">
        <v>3</v>
      </c>
      <c r="F8" s="39">
        <f>'Données '!S69</f>
        <v>0</v>
      </c>
      <c r="G8" s="29">
        <f>SUM('Données '!O69:Q69)</f>
        <v>1</v>
      </c>
      <c r="H8" s="29">
        <f>'Données '!O68+'Données '!Q68</f>
        <v>1</v>
      </c>
      <c r="I8" s="29">
        <f>'Données '!P68+'Données '!R68</f>
        <v>0</v>
      </c>
      <c r="J8" s="55">
        <f t="shared" si="0"/>
        <v>3</v>
      </c>
      <c r="K8" s="56">
        <f t="shared" si="1"/>
        <v>0</v>
      </c>
      <c r="Q8" s="13"/>
      <c r="U8" s="7"/>
      <c r="V8" s="9"/>
      <c r="W8" s="13"/>
    </row>
    <row r="9" spans="1:23" ht="29" x14ac:dyDescent="0.35">
      <c r="B9" s="30"/>
      <c r="C9" s="73" t="s">
        <v>17</v>
      </c>
      <c r="D9" s="43" t="s">
        <v>18</v>
      </c>
      <c r="E9" s="37">
        <v>1</v>
      </c>
      <c r="F9" s="39">
        <f>'Données '!S70</f>
        <v>0</v>
      </c>
      <c r="G9" s="29">
        <f>SUM('Données '!O70:Q70)</f>
        <v>1</v>
      </c>
      <c r="H9" s="29">
        <f>'Données '!O69+'Données '!Q69</f>
        <v>1</v>
      </c>
      <c r="I9" s="29">
        <f>'Données '!P69+'Données '!R69</f>
        <v>0</v>
      </c>
      <c r="J9" s="55">
        <f t="shared" si="0"/>
        <v>1</v>
      </c>
      <c r="K9" s="56">
        <f t="shared" si="1"/>
        <v>0</v>
      </c>
      <c r="Q9" s="2"/>
      <c r="U9" s="7"/>
      <c r="V9" s="9"/>
      <c r="W9" s="13"/>
    </row>
    <row r="10" spans="1:23" x14ac:dyDescent="0.35">
      <c r="B10" s="30"/>
      <c r="C10" s="42"/>
      <c r="D10" s="43" t="s">
        <v>19</v>
      </c>
      <c r="E10" s="37">
        <v>1</v>
      </c>
      <c r="F10" s="39">
        <f>'Données '!S71</f>
        <v>0</v>
      </c>
      <c r="G10" s="29">
        <f>SUM('Données '!O71:Q71)</f>
        <v>1</v>
      </c>
      <c r="H10" s="29">
        <f>'Données '!O70+'Données '!Q70</f>
        <v>1</v>
      </c>
      <c r="I10" s="29">
        <f>'Données '!P70+'Données '!R70</f>
        <v>0</v>
      </c>
      <c r="J10" s="55">
        <f t="shared" ref="J10:J13" si="2">H10*$E10</f>
        <v>1</v>
      </c>
      <c r="K10" s="56">
        <f t="shared" ref="K10:K13" si="3">I10*$E10</f>
        <v>0</v>
      </c>
      <c r="Q10" s="13"/>
      <c r="U10" s="7"/>
      <c r="V10" s="9"/>
      <c r="W10" s="13"/>
    </row>
    <row r="11" spans="1:23" ht="29" x14ac:dyDescent="0.35">
      <c r="B11" s="30"/>
      <c r="C11" s="71" t="s">
        <v>20</v>
      </c>
      <c r="D11" s="43" t="s">
        <v>21</v>
      </c>
      <c r="E11" s="37">
        <v>1</v>
      </c>
      <c r="F11" s="39">
        <f>'Données '!S72</f>
        <v>0</v>
      </c>
      <c r="G11" s="29">
        <f>SUM('Données '!O72:Q72)</f>
        <v>1</v>
      </c>
      <c r="H11" s="29">
        <f>'Données '!O71+'Données '!Q71</f>
        <v>1</v>
      </c>
      <c r="I11" s="29">
        <f>'Données '!P71+'Données '!R71</f>
        <v>0</v>
      </c>
      <c r="J11" s="55">
        <f t="shared" si="2"/>
        <v>1</v>
      </c>
      <c r="K11" s="56">
        <f t="shared" si="3"/>
        <v>0</v>
      </c>
      <c r="Q11" s="2"/>
      <c r="U11" s="7"/>
      <c r="V11" s="9"/>
      <c r="W11" s="13"/>
    </row>
    <row r="12" spans="1:23" x14ac:dyDescent="0.35">
      <c r="B12" s="30"/>
      <c r="C12" s="42"/>
      <c r="D12" s="43" t="s">
        <v>22</v>
      </c>
      <c r="E12" s="37">
        <v>1</v>
      </c>
      <c r="F12" s="39">
        <f>'Données '!S73</f>
        <v>0</v>
      </c>
      <c r="G12" s="29">
        <f>SUM('Données '!O73:Q73)</f>
        <v>1</v>
      </c>
      <c r="H12" s="29">
        <f>'Données '!O72+'Données '!Q72</f>
        <v>1</v>
      </c>
      <c r="I12" s="29">
        <f>'Données '!P72+'Données '!R72</f>
        <v>0</v>
      </c>
      <c r="J12" s="55">
        <f t="shared" si="2"/>
        <v>1</v>
      </c>
      <c r="K12" s="56">
        <f t="shared" si="3"/>
        <v>0</v>
      </c>
      <c r="Q12" s="13"/>
      <c r="U12" s="7"/>
      <c r="V12" s="9"/>
      <c r="W12" s="13"/>
    </row>
    <row r="13" spans="1:23" x14ac:dyDescent="0.35">
      <c r="B13" s="30"/>
      <c r="C13" s="42" t="s">
        <v>23</v>
      </c>
      <c r="D13" s="43" t="s">
        <v>24</v>
      </c>
      <c r="E13" s="37">
        <v>1</v>
      </c>
      <c r="F13" s="39">
        <f>'Données '!S74</f>
        <v>1</v>
      </c>
      <c r="G13" s="29">
        <f>SUM('Données '!O74:Q74)</f>
        <v>1</v>
      </c>
      <c r="H13" s="29">
        <f>'Données '!O73+'Données '!Q73</f>
        <v>1</v>
      </c>
      <c r="I13" s="29">
        <f>'Données '!P73+'Données '!R73</f>
        <v>0</v>
      </c>
      <c r="J13" s="55">
        <f t="shared" si="2"/>
        <v>1</v>
      </c>
      <c r="K13" s="56">
        <f t="shared" si="3"/>
        <v>0</v>
      </c>
      <c r="Q13" s="2"/>
      <c r="U13" s="7"/>
      <c r="V13" s="9"/>
      <c r="W13" s="13"/>
    </row>
    <row r="14" spans="1:23" x14ac:dyDescent="0.35">
      <c r="B14" s="30"/>
      <c r="C14" s="42"/>
      <c r="D14" s="43"/>
      <c r="E14" s="37"/>
      <c r="F14" s="39"/>
      <c r="G14" s="29"/>
      <c r="H14" s="29"/>
      <c r="I14" s="29"/>
      <c r="J14" s="55"/>
      <c r="K14" s="56"/>
    </row>
    <row r="15" spans="1:23" x14ac:dyDescent="0.35">
      <c r="B15" s="30"/>
      <c r="C15" s="42"/>
      <c r="D15" s="43"/>
      <c r="E15" s="37"/>
      <c r="F15" s="39"/>
      <c r="G15" s="29"/>
      <c r="H15" s="29"/>
      <c r="I15" s="29"/>
      <c r="J15" s="55"/>
      <c r="K15" s="56"/>
      <c r="W15" s="13"/>
    </row>
    <row r="16" spans="1:23" x14ac:dyDescent="0.35">
      <c r="B16" s="30"/>
      <c r="C16" s="42"/>
      <c r="D16" s="43"/>
      <c r="E16" s="37"/>
      <c r="F16" s="39"/>
      <c r="G16" s="29"/>
      <c r="H16" s="29"/>
      <c r="I16" s="29"/>
      <c r="J16" s="55"/>
      <c r="K16" s="56"/>
    </row>
    <row r="17" spans="2:17" x14ac:dyDescent="0.35">
      <c r="B17" s="30"/>
      <c r="C17" s="42"/>
      <c r="D17" s="43"/>
      <c r="E17" s="37"/>
      <c r="F17" s="39"/>
      <c r="G17" s="29"/>
      <c r="H17" s="29"/>
      <c r="I17" s="29"/>
      <c r="J17" s="55"/>
      <c r="K17" s="56"/>
    </row>
    <row r="18" spans="2:17" x14ac:dyDescent="0.35">
      <c r="B18" s="30"/>
      <c r="C18" s="42"/>
      <c r="D18" s="43"/>
      <c r="E18" s="37"/>
      <c r="F18" s="39"/>
      <c r="G18" s="29"/>
      <c r="H18" s="29"/>
      <c r="I18" s="29"/>
      <c r="J18" s="55"/>
      <c r="K18" s="56"/>
    </row>
    <row r="19" spans="2:17" x14ac:dyDescent="0.35">
      <c r="B19" s="30"/>
      <c r="C19" s="42"/>
      <c r="D19" s="43"/>
      <c r="E19" s="37"/>
      <c r="F19" s="39"/>
      <c r="G19" s="29"/>
      <c r="H19" s="29"/>
      <c r="I19" s="29"/>
      <c r="J19" s="55"/>
      <c r="K19" s="56"/>
    </row>
    <row r="20" spans="2:17" x14ac:dyDescent="0.35">
      <c r="B20" s="30"/>
      <c r="C20" s="42"/>
      <c r="D20" s="43"/>
      <c r="E20" s="37"/>
      <c r="F20" s="39"/>
      <c r="G20" s="29"/>
      <c r="H20" s="29"/>
      <c r="I20" s="29"/>
      <c r="J20" s="55"/>
      <c r="K20" s="56"/>
      <c r="Q20" s="2"/>
    </row>
    <row r="21" spans="2:17" x14ac:dyDescent="0.35">
      <c r="B21" s="30"/>
      <c r="C21" s="42"/>
      <c r="D21" s="43"/>
      <c r="E21" s="37"/>
      <c r="F21" s="39"/>
      <c r="G21" s="29"/>
      <c r="H21" s="29"/>
      <c r="I21" s="29"/>
      <c r="J21" s="55"/>
      <c r="K21" s="56"/>
      <c r="Q21" s="2"/>
    </row>
    <row r="22" spans="2:17" x14ac:dyDescent="0.35">
      <c r="B22" s="30"/>
      <c r="C22" s="42"/>
      <c r="D22" s="43"/>
      <c r="E22" s="37"/>
      <c r="F22" s="39"/>
      <c r="G22" s="29"/>
      <c r="H22" s="29"/>
      <c r="I22" s="29"/>
      <c r="J22" s="55"/>
      <c r="K22" s="56"/>
      <c r="Q22" s="2"/>
    </row>
    <row r="23" spans="2:17" x14ac:dyDescent="0.35">
      <c r="B23" s="30"/>
      <c r="C23" s="42"/>
      <c r="D23" s="43"/>
      <c r="E23" s="37"/>
      <c r="F23" s="39"/>
      <c r="G23" s="29"/>
      <c r="H23" s="29"/>
      <c r="I23" s="29"/>
      <c r="J23" s="55"/>
      <c r="K23" s="56"/>
      <c r="Q23" s="2"/>
    </row>
    <row r="24" spans="2:17" x14ac:dyDescent="0.35">
      <c r="B24" s="30"/>
      <c r="C24" s="42"/>
      <c r="D24" s="43"/>
      <c r="E24" s="37"/>
      <c r="F24" s="39"/>
      <c r="G24" s="29"/>
      <c r="H24" s="29"/>
      <c r="I24" s="29"/>
      <c r="J24" s="55"/>
      <c r="K24" s="56"/>
    </row>
    <row r="25" spans="2:17" x14ac:dyDescent="0.35">
      <c r="B25" s="16"/>
      <c r="C25" s="42"/>
      <c r="D25" s="43"/>
      <c r="E25" s="37"/>
      <c r="F25" s="39"/>
      <c r="G25" s="29"/>
      <c r="H25" s="29"/>
      <c r="I25" s="29"/>
      <c r="J25" s="55"/>
      <c r="K25" s="56"/>
    </row>
    <row r="26" spans="2:17" x14ac:dyDescent="0.35">
      <c r="B26" s="16"/>
      <c r="C26" s="42"/>
      <c r="D26" s="43"/>
      <c r="E26" s="37"/>
      <c r="F26" s="39"/>
      <c r="G26" s="29"/>
      <c r="H26" s="29"/>
      <c r="I26" s="29"/>
      <c r="J26" s="55"/>
      <c r="K26" s="56"/>
    </row>
    <row r="27" spans="2:17" x14ac:dyDescent="0.35">
      <c r="B27" s="16"/>
      <c r="C27" s="42"/>
      <c r="D27" s="43"/>
      <c r="E27" s="37"/>
      <c r="F27" s="39"/>
      <c r="G27" s="29"/>
      <c r="H27" s="29"/>
      <c r="I27" s="29"/>
      <c r="J27" s="55"/>
      <c r="K27" s="56"/>
      <c r="Q27" s="2"/>
    </row>
    <row r="28" spans="2:17" x14ac:dyDescent="0.35">
      <c r="B28" s="16"/>
      <c r="C28" s="42"/>
      <c r="D28" s="43"/>
      <c r="E28" s="37"/>
      <c r="F28" s="39"/>
      <c r="G28" s="29"/>
      <c r="H28" s="29"/>
      <c r="I28" s="29"/>
      <c r="J28" s="55"/>
      <c r="K28" s="56"/>
      <c r="Q28" s="2"/>
    </row>
    <row r="29" spans="2:17" x14ac:dyDescent="0.35">
      <c r="B29" s="16"/>
      <c r="C29" s="42"/>
      <c r="D29" s="43"/>
      <c r="E29" s="37"/>
      <c r="F29" s="39"/>
      <c r="G29" s="29"/>
      <c r="H29" s="29"/>
      <c r="I29" s="29"/>
      <c r="J29" s="55"/>
      <c r="K29" s="56"/>
      <c r="Q29" s="2"/>
    </row>
    <row r="30" spans="2:17" x14ac:dyDescent="0.35">
      <c r="B30" s="16"/>
      <c r="C30" s="42"/>
      <c r="D30" s="43"/>
      <c r="E30" s="37"/>
      <c r="F30" s="39"/>
      <c r="G30" s="29"/>
      <c r="H30" s="29"/>
      <c r="I30" s="29"/>
      <c r="J30" s="55"/>
      <c r="K30" s="56"/>
      <c r="Q30" s="2"/>
    </row>
    <row r="31" spans="2:17" x14ac:dyDescent="0.35">
      <c r="B31" s="16"/>
      <c r="C31" s="42"/>
      <c r="D31" s="43"/>
      <c r="E31" s="37"/>
      <c r="F31" s="39"/>
      <c r="G31" s="29"/>
      <c r="H31" s="29"/>
      <c r="I31" s="29"/>
      <c r="J31" s="55"/>
      <c r="K31" s="56"/>
      <c r="Q31" s="2"/>
    </row>
    <row r="32" spans="2:17" x14ac:dyDescent="0.35">
      <c r="B32" s="30"/>
      <c r="C32" s="42"/>
      <c r="D32" s="43"/>
      <c r="E32" s="37"/>
      <c r="F32" s="39"/>
      <c r="G32" s="29"/>
      <c r="H32" s="29"/>
      <c r="I32" s="29"/>
      <c r="J32" s="55"/>
      <c r="K32" s="56"/>
      <c r="Q32" s="2"/>
    </row>
    <row r="33" spans="2:17" x14ac:dyDescent="0.35">
      <c r="B33" s="30"/>
      <c r="C33" s="42"/>
      <c r="D33" s="43"/>
      <c r="E33" s="37"/>
      <c r="F33" s="39"/>
      <c r="G33" s="29"/>
      <c r="H33" s="29"/>
      <c r="I33" s="29"/>
      <c r="J33" s="55"/>
      <c r="K33" s="56"/>
      <c r="Q33" s="2"/>
    </row>
    <row r="34" spans="2:17" x14ac:dyDescent="0.35">
      <c r="B34" s="30"/>
      <c r="C34" s="42"/>
      <c r="D34" s="43"/>
      <c r="E34" s="37"/>
      <c r="F34" s="39"/>
      <c r="G34" s="29"/>
      <c r="H34" s="29"/>
      <c r="I34" s="29"/>
      <c r="J34" s="55"/>
      <c r="K34" s="56"/>
      <c r="Q34" s="2"/>
    </row>
    <row r="35" spans="2:17" x14ac:dyDescent="0.35">
      <c r="B35" s="30"/>
      <c r="C35" s="42"/>
      <c r="D35" s="43"/>
      <c r="E35" s="37"/>
      <c r="F35" s="39"/>
      <c r="G35" s="29"/>
      <c r="H35" s="29"/>
      <c r="I35" s="29"/>
      <c r="J35" s="55"/>
      <c r="K35" s="56"/>
      <c r="Q35" s="2"/>
    </row>
    <row r="36" spans="2:17" x14ac:dyDescent="0.35">
      <c r="B36" s="30"/>
      <c r="C36" s="42"/>
      <c r="D36" s="43"/>
      <c r="E36" s="37"/>
      <c r="F36" s="39"/>
      <c r="G36" s="29"/>
      <c r="H36" s="29"/>
      <c r="I36" s="29"/>
      <c r="J36" s="55"/>
      <c r="K36" s="56"/>
      <c r="Q36" s="2"/>
    </row>
    <row r="37" spans="2:17" x14ac:dyDescent="0.35">
      <c r="B37" s="17"/>
      <c r="C37" s="7"/>
      <c r="D37" s="10"/>
      <c r="E37" s="17">
        <f>SUM(E4:E36)</f>
        <v>13</v>
      </c>
      <c r="F37" s="3">
        <f>SUM(F4:F36)</f>
        <v>4</v>
      </c>
      <c r="G37" s="68">
        <f>SUM(G4:G36)/COUNTA(D4:D36)</f>
        <v>1</v>
      </c>
      <c r="H37" s="4">
        <f>AVERAGE(H4:H36)</f>
        <v>0.9</v>
      </c>
      <c r="I37" s="4">
        <f>AVERAGE(I4:I36)</f>
        <v>0</v>
      </c>
      <c r="J37" s="57">
        <f>SUM(J4:J36)/$E$37</f>
        <v>0.92307692307692313</v>
      </c>
      <c r="K37" s="58">
        <f>SUM(K4:K36)/$E$37</f>
        <v>0</v>
      </c>
    </row>
    <row r="38" spans="2:17" x14ac:dyDescent="0.35">
      <c r="B38" s="17"/>
      <c r="C38" s="7"/>
      <c r="D38" s="10"/>
      <c r="E38" s="17"/>
      <c r="F38" s="3"/>
      <c r="G38" s="4"/>
      <c r="H38" s="4"/>
      <c r="I38" s="4"/>
      <c r="J38" s="4"/>
      <c r="K38" s="4"/>
    </row>
    <row r="39" spans="2:17" x14ac:dyDescent="0.35">
      <c r="B39" s="17"/>
      <c r="C39" s="7"/>
      <c r="D39" s="10"/>
      <c r="E39" s="17"/>
      <c r="F39" s="3"/>
      <c r="G39" s="4"/>
      <c r="H39" s="4"/>
      <c r="I39" s="4"/>
      <c r="J39" s="4"/>
      <c r="K39" s="4"/>
    </row>
    <row r="40" spans="2:17" x14ac:dyDescent="0.35">
      <c r="B40" s="17"/>
      <c r="C40" s="7"/>
      <c r="D40" s="10"/>
      <c r="E40" s="17"/>
      <c r="F40" s="3"/>
      <c r="G40" s="4"/>
      <c r="H40" s="4"/>
      <c r="I40" s="4"/>
      <c r="J40" s="4"/>
      <c r="K40" s="4"/>
    </row>
    <row r="41" spans="2:17" x14ac:dyDescent="0.35">
      <c r="B41" s="17"/>
      <c r="C41" s="7"/>
      <c r="D41" s="10"/>
      <c r="E41" s="17"/>
      <c r="F41" s="3"/>
      <c r="G41" s="4"/>
      <c r="H41" s="4"/>
      <c r="I41" s="4"/>
      <c r="J41" s="4"/>
      <c r="K41" s="4"/>
    </row>
    <row r="42" spans="2:17" x14ac:dyDescent="0.35">
      <c r="B42" s="17"/>
      <c r="C42" s="7"/>
      <c r="D42" s="10"/>
      <c r="E42" s="17"/>
      <c r="F42" s="3"/>
      <c r="G42" s="4"/>
      <c r="H42" s="4"/>
      <c r="I42" s="4"/>
      <c r="J42" s="4"/>
      <c r="K42" s="4"/>
    </row>
    <row r="43" spans="2:17" x14ac:dyDescent="0.35">
      <c r="B43" s="17"/>
      <c r="C43" s="7"/>
      <c r="D43" s="10"/>
      <c r="E43" s="17"/>
      <c r="F43" s="3"/>
      <c r="G43" s="4"/>
      <c r="H43" s="4"/>
      <c r="I43" s="4"/>
      <c r="J43" s="4"/>
      <c r="K43" s="4"/>
    </row>
    <row r="44" spans="2:17" x14ac:dyDescent="0.35">
      <c r="B44" s="17"/>
      <c r="C44" s="7"/>
      <c r="D44" s="10"/>
      <c r="E44" s="17"/>
      <c r="F44" s="3"/>
      <c r="G44" s="4"/>
      <c r="H44" s="4"/>
      <c r="I44" s="4"/>
      <c r="J44" s="4"/>
      <c r="K44" s="4"/>
    </row>
    <row r="45" spans="2:17" x14ac:dyDescent="0.35">
      <c r="B45" s="17"/>
      <c r="C45" s="7"/>
      <c r="D45" s="10"/>
      <c r="E45" s="17"/>
      <c r="F45" s="3"/>
      <c r="G45" s="4"/>
      <c r="H45" s="4"/>
      <c r="I45" s="4"/>
      <c r="J45" s="4"/>
      <c r="K45" s="4"/>
    </row>
    <row r="46" spans="2:17" x14ac:dyDescent="0.35">
      <c r="B46" s="17"/>
      <c r="C46" s="7"/>
      <c r="D46" s="10"/>
      <c r="E46" s="17"/>
      <c r="F46" s="3"/>
      <c r="G46" s="4"/>
      <c r="H46" s="4"/>
      <c r="I46" s="4"/>
      <c r="J46" s="4"/>
      <c r="K46" s="4"/>
    </row>
    <row r="47" spans="2:17" x14ac:dyDescent="0.35">
      <c r="B47" s="17"/>
      <c r="C47" s="7"/>
      <c r="D47" s="10"/>
      <c r="E47" s="17"/>
      <c r="F47" s="3"/>
      <c r="G47" s="4"/>
      <c r="H47" s="4"/>
      <c r="I47" s="4"/>
      <c r="J47" s="4"/>
      <c r="K47" s="4"/>
    </row>
    <row r="48" spans="2:17" x14ac:dyDescent="0.35">
      <c r="B48" s="17"/>
      <c r="C48" s="7"/>
      <c r="D48" s="10"/>
      <c r="E48" s="17"/>
      <c r="F48" s="3"/>
      <c r="G48" s="4"/>
      <c r="H48" s="4"/>
      <c r="I48" s="4"/>
      <c r="J48" s="4"/>
      <c r="K48" s="4"/>
    </row>
    <row r="49" spans="1:28" x14ac:dyDescent="0.35">
      <c r="B49" s="17"/>
      <c r="C49" s="7"/>
      <c r="D49" s="10"/>
      <c r="E49" s="17"/>
      <c r="F49" s="3"/>
      <c r="G49" s="4"/>
      <c r="H49" s="4"/>
      <c r="I49" s="4"/>
      <c r="J49" s="4"/>
      <c r="K49" s="4"/>
    </row>
    <row r="50" spans="1:28" x14ac:dyDescent="0.35">
      <c r="B50" s="17"/>
      <c r="C50" s="7"/>
      <c r="D50" s="10"/>
      <c r="E50" s="17"/>
      <c r="F50" s="3"/>
      <c r="G50" s="4"/>
      <c r="H50" s="4"/>
      <c r="I50" s="4"/>
      <c r="J50" s="4"/>
      <c r="K50" s="4"/>
    </row>
    <row r="51" spans="1:28" x14ac:dyDescent="0.35">
      <c r="B51" s="17"/>
      <c r="C51" s="7"/>
      <c r="D51" s="10"/>
      <c r="E51" s="17"/>
      <c r="F51" s="3"/>
      <c r="G51" s="4"/>
      <c r="H51" s="4"/>
      <c r="I51" s="4"/>
      <c r="J51" s="4"/>
      <c r="K51" s="4"/>
    </row>
    <row r="52" spans="1:28" x14ac:dyDescent="0.35">
      <c r="B52" s="17"/>
      <c r="C52" s="7"/>
      <c r="D52" s="10"/>
      <c r="E52" s="17"/>
      <c r="F52" s="3"/>
      <c r="G52" s="4"/>
      <c r="H52" s="4"/>
      <c r="I52" s="4"/>
      <c r="J52" s="4"/>
      <c r="K52" s="4"/>
    </row>
    <row r="53" spans="1:28" x14ac:dyDescent="0.35">
      <c r="B53" s="17"/>
      <c r="C53" s="7"/>
      <c r="D53" s="10"/>
      <c r="E53" s="17"/>
      <c r="F53" s="3"/>
      <c r="G53" s="4"/>
      <c r="H53" s="4"/>
      <c r="I53" s="4"/>
      <c r="J53" s="4"/>
      <c r="K53" s="4"/>
    </row>
    <row r="54" spans="1:28" x14ac:dyDescent="0.35">
      <c r="B54" s="17"/>
      <c r="C54" s="7"/>
      <c r="D54" s="10"/>
      <c r="E54" s="17"/>
      <c r="F54" s="3"/>
      <c r="G54" s="4"/>
      <c r="H54" s="4"/>
      <c r="I54" s="4"/>
      <c r="J54" s="4"/>
      <c r="K54" s="4"/>
    </row>
    <row r="55" spans="1:28" x14ac:dyDescent="0.35">
      <c r="B55" s="17"/>
      <c r="C55" s="7"/>
      <c r="D55" s="10"/>
      <c r="E55" s="17"/>
      <c r="F55" s="3"/>
      <c r="G55" s="4"/>
      <c r="H55" s="4"/>
      <c r="I55" s="4"/>
      <c r="J55" s="4"/>
      <c r="K55" s="4"/>
    </row>
    <row r="56" spans="1:28" x14ac:dyDescent="0.35">
      <c r="B56" s="17"/>
      <c r="C56" s="7"/>
      <c r="D56" s="10"/>
      <c r="E56" s="17"/>
      <c r="F56" s="3"/>
      <c r="G56" s="4"/>
      <c r="H56" s="4"/>
      <c r="I56" s="4"/>
      <c r="J56" s="4"/>
      <c r="K56" s="4"/>
    </row>
    <row r="57" spans="1:28" x14ac:dyDescent="0.35">
      <c r="B57" s="17"/>
      <c r="C57" s="7"/>
      <c r="D57" s="10"/>
      <c r="E57" s="17"/>
      <c r="F57" s="3"/>
      <c r="G57" s="4"/>
      <c r="H57" s="4"/>
      <c r="I57" s="4"/>
      <c r="J57" s="4"/>
      <c r="K57" s="4"/>
    </row>
    <row r="58" spans="1:28" x14ac:dyDescent="0.35">
      <c r="B58" s="17"/>
      <c r="C58" s="7"/>
      <c r="D58" s="10"/>
      <c r="E58" s="17"/>
      <c r="F58" s="3"/>
      <c r="G58" s="4"/>
      <c r="H58" s="4"/>
      <c r="I58" s="4"/>
      <c r="J58" s="4"/>
      <c r="K58" s="4"/>
    </row>
    <row r="59" spans="1:28" x14ac:dyDescent="0.35">
      <c r="B59" s="17"/>
      <c r="C59" s="7"/>
      <c r="D59" s="10"/>
      <c r="E59" s="17"/>
      <c r="F59" s="3"/>
      <c r="G59" s="4"/>
      <c r="H59" s="4"/>
      <c r="I59" s="4"/>
      <c r="J59" s="4"/>
      <c r="K59" s="4"/>
    </row>
    <row r="60" spans="1:28" x14ac:dyDescent="0.35">
      <c r="A60" s="78" t="s">
        <v>25</v>
      </c>
      <c r="B60" s="78"/>
      <c r="C60" s="78"/>
    </row>
    <row r="62" spans="1:28" x14ac:dyDescent="0.35">
      <c r="E62" s="70"/>
      <c r="F62" s="70"/>
      <c r="G62" s="70"/>
      <c r="H62" s="70"/>
      <c r="I62" s="70"/>
      <c r="J62" s="70"/>
      <c r="K62" s="70"/>
      <c r="L62" s="70"/>
      <c r="M62" s="70"/>
      <c r="N62" s="70"/>
    </row>
    <row r="63" spans="1:28" x14ac:dyDescent="0.35">
      <c r="E63" s="79" t="s">
        <v>26</v>
      </c>
      <c r="F63" s="80"/>
      <c r="G63" s="80"/>
      <c r="H63" s="80"/>
      <c r="I63" s="81"/>
      <c r="J63" s="79" t="s">
        <v>27</v>
      </c>
      <c r="K63" s="80"/>
      <c r="L63" s="80"/>
      <c r="M63" s="81"/>
      <c r="N63" s="70"/>
    </row>
    <row r="64" spans="1:28" x14ac:dyDescent="0.35">
      <c r="C64" s="7"/>
      <c r="D64" s="8" t="s">
        <v>2</v>
      </c>
      <c r="E64" s="31" t="s">
        <v>26</v>
      </c>
      <c r="F64" s="30" t="s">
        <v>28</v>
      </c>
      <c r="G64" s="30" t="s">
        <v>29</v>
      </c>
      <c r="H64" s="30" t="s">
        <v>30</v>
      </c>
      <c r="I64" s="32" t="s">
        <v>31</v>
      </c>
      <c r="J64" s="31" t="s">
        <v>32</v>
      </c>
      <c r="K64" s="30" t="s">
        <v>33</v>
      </c>
      <c r="L64" s="30" t="s">
        <v>34</v>
      </c>
      <c r="M64" s="32" t="s">
        <v>35</v>
      </c>
      <c r="N64" s="49" t="s">
        <v>36</v>
      </c>
      <c r="O64" s="25" t="s">
        <v>37</v>
      </c>
      <c r="P64" s="24" t="s">
        <v>38</v>
      </c>
      <c r="Q64" s="26" t="s">
        <v>39</v>
      </c>
      <c r="R64" s="27" t="s">
        <v>40</v>
      </c>
      <c r="S64" s="8" t="s">
        <v>41</v>
      </c>
      <c r="T64" s="8" t="s">
        <v>42</v>
      </c>
      <c r="U64" s="8" t="s">
        <v>43</v>
      </c>
      <c r="V64" s="8" t="s">
        <v>44</v>
      </c>
      <c r="W64" s="8" t="s">
        <v>45</v>
      </c>
      <c r="X64" s="8" t="s">
        <v>46</v>
      </c>
      <c r="Y64" s="8" t="s">
        <v>47</v>
      </c>
      <c r="Z64" s="8" t="s">
        <v>48</v>
      </c>
      <c r="AA64" s="8" t="s">
        <v>49</v>
      </c>
      <c r="AB64" s="8" t="s">
        <v>32</v>
      </c>
    </row>
    <row r="65" spans="3:65" x14ac:dyDescent="0.35">
      <c r="C65" s="7" t="str">
        <f>C4</f>
        <v>Gestion des Nouveaux Contrats (Service 1)</v>
      </c>
      <c r="D65" s="19" t="str">
        <f>D4</f>
        <v xml:space="preserve">Saisie du formulaire d'inscription client
</v>
      </c>
      <c r="E65" s="44">
        <v>1</v>
      </c>
      <c r="F65" s="45">
        <v>1</v>
      </c>
      <c r="G65" s="45"/>
      <c r="H65" s="45"/>
      <c r="I65" s="69">
        <f t="shared" ref="I65:I70" si="4">E65-(F65+G65+H65)</f>
        <v>0</v>
      </c>
      <c r="J65" s="41">
        <f>SUM(K65:M65)</f>
        <v>0</v>
      </c>
      <c r="K65" s="46"/>
      <c r="L65" s="45"/>
      <c r="M65" s="47"/>
      <c r="N65" s="50">
        <v>0.8</v>
      </c>
      <c r="O65" s="20">
        <f t="shared" ref="O65:O70" si="5">F65/$E65</f>
        <v>1</v>
      </c>
      <c r="P65" s="20">
        <f t="shared" ref="P65:P70" si="6">G65/$E65</f>
        <v>0</v>
      </c>
      <c r="Q65" s="20">
        <f t="shared" ref="Q65:Q70" si="7">H65/$E65</f>
        <v>0</v>
      </c>
      <c r="R65" s="20">
        <f t="shared" ref="R65:R70" si="8">I65/$E65</f>
        <v>0</v>
      </c>
      <c r="S65" s="39">
        <f>IF(AND(O65&gt;=N65,ISBLANK(K65),ISBLANK(L65)),1,0)</f>
        <v>1</v>
      </c>
      <c r="T65" s="20">
        <v>1</v>
      </c>
      <c r="U65" s="20">
        <f t="shared" ref="U65:U70" si="9">SUM(F65:H65)/E65</f>
        <v>1</v>
      </c>
      <c r="V65" s="21">
        <f t="shared" ref="V65:V70" si="10">T65-U65</f>
        <v>0</v>
      </c>
      <c r="W65" s="20">
        <f t="shared" ref="W65:W70" si="11">100%-T65</f>
        <v>0</v>
      </c>
      <c r="X65" s="12">
        <f t="shared" ref="X65:X70" si="12">E65*T65</f>
        <v>1</v>
      </c>
      <c r="Y65" s="12">
        <f t="shared" ref="Y65:Y70" si="13">SUM(F65:H65)</f>
        <v>1</v>
      </c>
      <c r="Z65" s="12">
        <f t="shared" ref="Z65:Z70" si="14">X65-Y65</f>
        <v>0</v>
      </c>
      <c r="AA65" s="22">
        <f t="shared" ref="AA65:AA70" si="15">E65-X65</f>
        <v>0</v>
      </c>
      <c r="AB65" s="23">
        <f t="shared" ref="AB65:AB70" si="16">SUM(Y65:AA65)</f>
        <v>1</v>
      </c>
    </row>
    <row r="66" spans="3:65" x14ac:dyDescent="0.35">
      <c r="C66" s="7">
        <f t="shared" ref="C66:D66" si="17">C5</f>
        <v>0</v>
      </c>
      <c r="D66" s="74" t="str">
        <f t="shared" si="17"/>
        <v>Vérification automatique de l'identité (OCR)</v>
      </c>
      <c r="E66" s="75">
        <v>1</v>
      </c>
      <c r="F66" s="45">
        <v>1</v>
      </c>
      <c r="G66" s="45"/>
      <c r="H66" s="45"/>
      <c r="I66" s="69">
        <f t="shared" si="4"/>
        <v>0</v>
      </c>
      <c r="J66" s="41">
        <f t="shared" ref="J66:J70" si="18">SUM(K66:M66)</f>
        <v>0</v>
      </c>
      <c r="K66" s="46"/>
      <c r="L66" s="45"/>
      <c r="M66" s="47"/>
      <c r="N66" s="50">
        <v>0.8</v>
      </c>
      <c r="O66" s="20">
        <f t="shared" si="5"/>
        <v>1</v>
      </c>
      <c r="P66" s="20">
        <f t="shared" si="6"/>
        <v>0</v>
      </c>
      <c r="Q66" s="20">
        <f t="shared" si="7"/>
        <v>0</v>
      </c>
      <c r="R66" s="20">
        <f t="shared" si="8"/>
        <v>0</v>
      </c>
      <c r="S66" s="39">
        <f>IF(AND(O66&gt;=N66,ISBLANK(K66),ISBLANK(L66)),1,0)</f>
        <v>1</v>
      </c>
      <c r="T66" s="20">
        <v>1</v>
      </c>
      <c r="U66" s="20">
        <f t="shared" si="9"/>
        <v>1</v>
      </c>
      <c r="V66" s="21">
        <f t="shared" si="10"/>
        <v>0</v>
      </c>
      <c r="W66" s="20">
        <f t="shared" si="11"/>
        <v>0</v>
      </c>
      <c r="X66" s="12">
        <f t="shared" si="12"/>
        <v>1</v>
      </c>
      <c r="Y66" s="12">
        <f t="shared" si="13"/>
        <v>1</v>
      </c>
      <c r="Z66" s="12">
        <f t="shared" si="14"/>
        <v>0</v>
      </c>
      <c r="AA66" s="22">
        <f t="shared" si="15"/>
        <v>0</v>
      </c>
      <c r="AB66" s="23">
        <f t="shared" si="16"/>
        <v>1</v>
      </c>
    </row>
    <row r="67" spans="3:65" x14ac:dyDescent="0.35">
      <c r="C67" s="7">
        <f t="shared" ref="C67" si="19">C6</f>
        <v>0</v>
      </c>
      <c r="D67" s="74" t="str">
        <f>D6</f>
        <v>Signature numérique du contrat</v>
      </c>
      <c r="E67" s="75">
        <v>1</v>
      </c>
      <c r="F67" s="45">
        <v>1</v>
      </c>
      <c r="G67" s="45"/>
      <c r="H67" s="45"/>
      <c r="I67" s="69">
        <f t="shared" si="4"/>
        <v>0</v>
      </c>
      <c r="J67" s="41">
        <f t="shared" si="18"/>
        <v>0</v>
      </c>
      <c r="K67" s="46"/>
      <c r="L67" s="45"/>
      <c r="M67" s="45"/>
      <c r="N67" s="77">
        <v>0.8</v>
      </c>
      <c r="O67" s="20">
        <f t="shared" si="5"/>
        <v>1</v>
      </c>
      <c r="P67" s="20">
        <f t="shared" si="6"/>
        <v>0</v>
      </c>
      <c r="Q67" s="20">
        <f t="shared" si="7"/>
        <v>0</v>
      </c>
      <c r="R67" s="20">
        <f t="shared" si="8"/>
        <v>0</v>
      </c>
      <c r="S67" s="39">
        <f t="shared" ref="S67:S70" si="20">IF(AND(O67&gt;=N67,ISBLANK(K67),ISBLANK(L67)),1,0)</f>
        <v>1</v>
      </c>
      <c r="T67" s="20">
        <v>1</v>
      </c>
      <c r="U67" s="20">
        <f t="shared" si="9"/>
        <v>1</v>
      </c>
      <c r="V67" s="21">
        <f t="shared" si="10"/>
        <v>0</v>
      </c>
      <c r="W67" s="20">
        <f t="shared" si="11"/>
        <v>0</v>
      </c>
      <c r="X67" s="12">
        <f t="shared" si="12"/>
        <v>1</v>
      </c>
      <c r="Y67" s="12">
        <f t="shared" si="13"/>
        <v>1</v>
      </c>
      <c r="Z67" s="12">
        <f t="shared" si="14"/>
        <v>0</v>
      </c>
      <c r="AA67" s="22">
        <f t="shared" si="15"/>
        <v>0</v>
      </c>
      <c r="AB67" s="23">
        <f t="shared" si="16"/>
        <v>1</v>
      </c>
    </row>
    <row r="68" spans="3:65" x14ac:dyDescent="0.35">
      <c r="C68" s="7" t="str">
        <f t="shared" ref="C68:D68" si="21">C7</f>
        <v>Modification des Contrats Existants (Service 2)</v>
      </c>
      <c r="D68" s="19" t="str">
        <f t="shared" si="21"/>
        <v>Mise à jour des coordonnées de contact</v>
      </c>
      <c r="E68" s="44">
        <v>1</v>
      </c>
      <c r="F68" s="45"/>
      <c r="G68" s="45"/>
      <c r="H68" s="45">
        <v>1</v>
      </c>
      <c r="I68" s="69">
        <f t="shared" si="4"/>
        <v>0</v>
      </c>
      <c r="J68" s="41">
        <f t="shared" si="18"/>
        <v>0</v>
      </c>
      <c r="K68" s="46"/>
      <c r="L68" s="46"/>
      <c r="M68" s="46"/>
      <c r="N68" s="76">
        <v>0.8</v>
      </c>
      <c r="O68" s="20">
        <f t="shared" si="5"/>
        <v>0</v>
      </c>
      <c r="P68" s="20">
        <f t="shared" si="6"/>
        <v>0</v>
      </c>
      <c r="Q68" s="20">
        <f t="shared" si="7"/>
        <v>1</v>
      </c>
      <c r="R68" s="20">
        <f t="shared" si="8"/>
        <v>0</v>
      </c>
      <c r="S68" s="39">
        <f t="shared" si="20"/>
        <v>0</v>
      </c>
      <c r="T68" s="20">
        <v>1</v>
      </c>
      <c r="U68" s="20">
        <f t="shared" si="9"/>
        <v>1</v>
      </c>
      <c r="V68" s="21">
        <f t="shared" si="10"/>
        <v>0</v>
      </c>
      <c r="W68" s="20">
        <f t="shared" si="11"/>
        <v>0</v>
      </c>
      <c r="X68" s="12">
        <f t="shared" si="12"/>
        <v>1</v>
      </c>
      <c r="Y68" s="12">
        <f t="shared" si="13"/>
        <v>1</v>
      </c>
      <c r="Z68" s="12">
        <f t="shared" si="14"/>
        <v>0</v>
      </c>
      <c r="AA68" s="22">
        <f t="shared" si="15"/>
        <v>0</v>
      </c>
      <c r="AB68" s="23">
        <f t="shared" si="16"/>
        <v>1</v>
      </c>
    </row>
    <row r="69" spans="3:65" x14ac:dyDescent="0.35">
      <c r="C69" s="7">
        <f t="shared" ref="C69:D69" si="22">C8</f>
        <v>0</v>
      </c>
      <c r="D69" s="19" t="str">
        <f t="shared" si="22"/>
        <v>Demande d'ajustement de puissance électrique</v>
      </c>
      <c r="E69" s="44">
        <v>1</v>
      </c>
      <c r="F69" s="45"/>
      <c r="G69" s="45"/>
      <c r="H69" s="45">
        <v>1</v>
      </c>
      <c r="I69" s="69">
        <f t="shared" si="4"/>
        <v>0</v>
      </c>
      <c r="J69" s="41">
        <f t="shared" si="18"/>
        <v>0</v>
      </c>
      <c r="K69" s="46"/>
      <c r="L69" s="46"/>
      <c r="M69" s="46"/>
      <c r="N69" s="76">
        <v>0.8</v>
      </c>
      <c r="O69" s="20">
        <f t="shared" si="5"/>
        <v>0</v>
      </c>
      <c r="P69" s="20">
        <f t="shared" si="6"/>
        <v>0</v>
      </c>
      <c r="Q69" s="20">
        <f t="shared" si="7"/>
        <v>1</v>
      </c>
      <c r="R69" s="20">
        <f t="shared" si="8"/>
        <v>0</v>
      </c>
      <c r="S69" s="39">
        <f t="shared" si="20"/>
        <v>0</v>
      </c>
      <c r="T69" s="20">
        <v>1</v>
      </c>
      <c r="U69" s="20">
        <f t="shared" si="9"/>
        <v>1</v>
      </c>
      <c r="V69" s="21">
        <f t="shared" si="10"/>
        <v>0</v>
      </c>
      <c r="W69" s="20">
        <f t="shared" si="11"/>
        <v>0</v>
      </c>
      <c r="X69" s="12">
        <f t="shared" si="12"/>
        <v>1</v>
      </c>
      <c r="Y69" s="12">
        <f t="shared" si="13"/>
        <v>1</v>
      </c>
      <c r="Z69" s="12">
        <f t="shared" si="14"/>
        <v>0</v>
      </c>
      <c r="AA69" s="22">
        <f t="shared" si="15"/>
        <v>0</v>
      </c>
      <c r="AB69" s="23">
        <f t="shared" si="16"/>
        <v>1</v>
      </c>
    </row>
    <row r="70" spans="3:65" x14ac:dyDescent="0.35">
      <c r="C70" s="7" t="str">
        <f t="shared" ref="C70:D70" si="23">C9</f>
        <v>Nouveau Raccordement au Réseau (Service 3)</v>
      </c>
      <c r="D70" s="19" t="str">
        <f t="shared" si="23"/>
        <v>Soumission du dossier technique de branchement</v>
      </c>
      <c r="E70" s="44">
        <v>1</v>
      </c>
      <c r="F70" s="45"/>
      <c r="G70" s="45"/>
      <c r="H70" s="45">
        <v>1</v>
      </c>
      <c r="I70" s="69">
        <f t="shared" si="4"/>
        <v>0</v>
      </c>
      <c r="J70" s="41">
        <f t="shared" si="18"/>
        <v>0</v>
      </c>
      <c r="K70" s="46"/>
      <c r="L70" s="46"/>
      <c r="M70" s="48"/>
      <c r="N70" s="50">
        <v>0.8</v>
      </c>
      <c r="O70" s="20">
        <f t="shared" si="5"/>
        <v>0</v>
      </c>
      <c r="P70" s="20">
        <f t="shared" si="6"/>
        <v>0</v>
      </c>
      <c r="Q70" s="20">
        <f t="shared" si="7"/>
        <v>1</v>
      </c>
      <c r="R70" s="20">
        <f t="shared" si="8"/>
        <v>0</v>
      </c>
      <c r="S70" s="39">
        <f t="shared" si="20"/>
        <v>0</v>
      </c>
      <c r="T70" s="20">
        <v>1</v>
      </c>
      <c r="U70" s="20">
        <f t="shared" si="9"/>
        <v>1</v>
      </c>
      <c r="V70" s="21">
        <f t="shared" si="10"/>
        <v>0</v>
      </c>
      <c r="W70" s="20">
        <f t="shared" si="11"/>
        <v>0</v>
      </c>
      <c r="X70" s="12">
        <f t="shared" si="12"/>
        <v>1</v>
      </c>
      <c r="Y70" s="12">
        <f t="shared" si="13"/>
        <v>1</v>
      </c>
      <c r="Z70" s="12">
        <f t="shared" si="14"/>
        <v>0</v>
      </c>
      <c r="AA70" s="22">
        <f t="shared" si="15"/>
        <v>0</v>
      </c>
      <c r="AB70" s="23">
        <f t="shared" si="16"/>
        <v>1</v>
      </c>
    </row>
    <row r="71" spans="3:65" x14ac:dyDescent="0.35">
      <c r="C71" s="7">
        <f t="shared" ref="C71:D71" si="24">C10</f>
        <v>0</v>
      </c>
      <c r="D71" s="19" t="str">
        <f t="shared" si="24"/>
        <v>Consultation de l'état d'avancement</v>
      </c>
      <c r="E71" s="44">
        <v>1</v>
      </c>
      <c r="F71" s="45"/>
      <c r="G71" s="45"/>
      <c r="H71" s="45">
        <v>1</v>
      </c>
      <c r="I71" s="69">
        <f t="shared" ref="I71:I74" si="25">E71-(F71+G71+H71)</f>
        <v>0</v>
      </c>
      <c r="J71" s="41">
        <f t="shared" ref="J71:J74" si="26">SUM(K71:M71)</f>
        <v>0</v>
      </c>
      <c r="K71" s="46"/>
      <c r="L71" s="46"/>
      <c r="M71" s="48"/>
      <c r="N71" s="50">
        <v>0.8</v>
      </c>
      <c r="O71" s="20">
        <f t="shared" ref="O71:O74" si="27">F71/$E71</f>
        <v>0</v>
      </c>
      <c r="P71" s="20">
        <f t="shared" ref="P71:P74" si="28">G71/$E71</f>
        <v>0</v>
      </c>
      <c r="Q71" s="20">
        <f t="shared" ref="Q71:Q74" si="29">H71/$E71</f>
        <v>1</v>
      </c>
      <c r="R71" s="20">
        <f t="shared" ref="R71:R74" si="30">I71/$E71</f>
        <v>0</v>
      </c>
      <c r="S71" s="39">
        <f t="shared" ref="S71:S74" si="31">IF(AND(O71&gt;=N71,ISBLANK(K71),ISBLANK(L71)),1,0)</f>
        <v>0</v>
      </c>
      <c r="T71" s="20">
        <v>2</v>
      </c>
      <c r="U71" s="20">
        <f t="shared" ref="U71:U74" si="32">SUM(F71:H71)/E71</f>
        <v>1</v>
      </c>
      <c r="V71" s="21">
        <f t="shared" ref="V71:V74" si="33">T71-U71</f>
        <v>1</v>
      </c>
      <c r="W71" s="20">
        <f t="shared" ref="W71:W74" si="34">100%-T71</f>
        <v>-1</v>
      </c>
      <c r="X71" s="12">
        <f t="shared" ref="X71:X74" si="35">E71*T71</f>
        <v>2</v>
      </c>
      <c r="Y71" s="12">
        <f t="shared" ref="Y71:Y74" si="36">SUM(F71:H71)</f>
        <v>1</v>
      </c>
      <c r="Z71" s="12">
        <f t="shared" ref="Z71:Z74" si="37">X71-Y71</f>
        <v>1</v>
      </c>
      <c r="AA71" s="22">
        <f t="shared" ref="AA71:AA74" si="38">E71-X71</f>
        <v>-1</v>
      </c>
      <c r="AB71" s="23">
        <f t="shared" ref="AB71:AB74" si="39">SUM(Y71:AA71)</f>
        <v>1</v>
      </c>
    </row>
    <row r="72" spans="3:65" x14ac:dyDescent="0.35">
      <c r="C72" s="7" t="str">
        <f t="shared" ref="C72:D72" si="40">C11</f>
        <v>Centre d'Information et Support (Service 4)</v>
      </c>
      <c r="D72" s="19" t="str">
        <f t="shared" si="40"/>
        <v>Envoi d'une demande d'information générale</v>
      </c>
      <c r="E72" s="44">
        <v>1</v>
      </c>
      <c r="F72" s="45"/>
      <c r="G72" s="45"/>
      <c r="H72" s="45">
        <v>1</v>
      </c>
      <c r="I72" s="69">
        <f t="shared" si="25"/>
        <v>0</v>
      </c>
      <c r="J72" s="41">
        <f t="shared" si="26"/>
        <v>0</v>
      </c>
      <c r="K72" s="46"/>
      <c r="L72" s="46"/>
      <c r="M72" s="48"/>
      <c r="N72" s="50">
        <v>0.8</v>
      </c>
      <c r="O72" s="20">
        <f t="shared" si="27"/>
        <v>0</v>
      </c>
      <c r="P72" s="20">
        <f t="shared" si="28"/>
        <v>0</v>
      </c>
      <c r="Q72" s="20">
        <f t="shared" si="29"/>
        <v>1</v>
      </c>
      <c r="R72" s="20">
        <f t="shared" si="30"/>
        <v>0</v>
      </c>
      <c r="S72" s="39">
        <f t="shared" si="31"/>
        <v>0</v>
      </c>
      <c r="T72" s="20">
        <v>3</v>
      </c>
      <c r="U72" s="20">
        <f t="shared" si="32"/>
        <v>1</v>
      </c>
      <c r="V72" s="21">
        <f t="shared" si="33"/>
        <v>2</v>
      </c>
      <c r="W72" s="20">
        <f t="shared" si="34"/>
        <v>-2</v>
      </c>
      <c r="X72" s="12">
        <f t="shared" si="35"/>
        <v>3</v>
      </c>
      <c r="Y72" s="12">
        <f t="shared" si="36"/>
        <v>1</v>
      </c>
      <c r="Z72" s="12">
        <f t="shared" si="37"/>
        <v>2</v>
      </c>
      <c r="AA72" s="22">
        <f t="shared" si="38"/>
        <v>-2</v>
      </c>
      <c r="AB72" s="23">
        <f t="shared" si="39"/>
        <v>1</v>
      </c>
    </row>
    <row r="73" spans="3:65" x14ac:dyDescent="0.35">
      <c r="C73" s="7">
        <f t="shared" ref="C73:D73" si="41">C12</f>
        <v>0</v>
      </c>
      <c r="D73" s="19" t="str">
        <f t="shared" si="41"/>
        <v>Réception automatique de l'accusé de réception</v>
      </c>
      <c r="E73" s="44">
        <v>1</v>
      </c>
      <c r="F73" s="45"/>
      <c r="G73" s="45"/>
      <c r="H73" s="45">
        <v>1</v>
      </c>
      <c r="I73" s="69">
        <f t="shared" si="25"/>
        <v>0</v>
      </c>
      <c r="J73" s="41">
        <f t="shared" si="26"/>
        <v>0</v>
      </c>
      <c r="K73" s="46"/>
      <c r="L73" s="46"/>
      <c r="M73" s="48"/>
      <c r="N73" s="50">
        <v>0.8</v>
      </c>
      <c r="O73" s="20">
        <f t="shared" si="27"/>
        <v>0</v>
      </c>
      <c r="P73" s="20">
        <f t="shared" si="28"/>
        <v>0</v>
      </c>
      <c r="Q73" s="20">
        <f t="shared" si="29"/>
        <v>1</v>
      </c>
      <c r="R73" s="20">
        <f t="shared" si="30"/>
        <v>0</v>
      </c>
      <c r="S73" s="39">
        <f t="shared" si="31"/>
        <v>0</v>
      </c>
      <c r="T73" s="20">
        <v>4</v>
      </c>
      <c r="U73" s="20">
        <f t="shared" si="32"/>
        <v>1</v>
      </c>
      <c r="V73" s="21">
        <f t="shared" si="33"/>
        <v>3</v>
      </c>
      <c r="W73" s="20">
        <f t="shared" si="34"/>
        <v>-3</v>
      </c>
      <c r="X73" s="12">
        <f t="shared" si="35"/>
        <v>4</v>
      </c>
      <c r="Y73" s="12">
        <f t="shared" si="36"/>
        <v>1</v>
      </c>
      <c r="Z73" s="12">
        <f t="shared" si="37"/>
        <v>3</v>
      </c>
      <c r="AA73" s="22">
        <f t="shared" si="38"/>
        <v>-3</v>
      </c>
      <c r="AB73" s="23">
        <f t="shared" si="39"/>
        <v>1</v>
      </c>
    </row>
    <row r="74" spans="3:65" x14ac:dyDescent="0.35">
      <c r="C74" s="7" t="str">
        <f t="shared" ref="C74:D74" si="42">C13</f>
        <v>Expérience Utilisateur et Localisation</v>
      </c>
      <c r="D74" s="19" t="str">
        <f t="shared" si="42"/>
        <v>Changement de la langue d'affichage</v>
      </c>
      <c r="E74" s="44">
        <v>1</v>
      </c>
      <c r="F74" s="45">
        <v>1</v>
      </c>
      <c r="G74" s="45"/>
      <c r="H74" s="45"/>
      <c r="I74" s="69">
        <f t="shared" si="25"/>
        <v>0</v>
      </c>
      <c r="J74" s="41">
        <f t="shared" si="26"/>
        <v>0</v>
      </c>
      <c r="K74" s="46"/>
      <c r="L74" s="46"/>
      <c r="M74" s="48"/>
      <c r="N74" s="50">
        <v>0.8</v>
      </c>
      <c r="O74" s="20">
        <f t="shared" si="27"/>
        <v>1</v>
      </c>
      <c r="P74" s="20">
        <f t="shared" si="28"/>
        <v>0</v>
      </c>
      <c r="Q74" s="20">
        <f t="shared" si="29"/>
        <v>0</v>
      </c>
      <c r="R74" s="20">
        <f t="shared" si="30"/>
        <v>0</v>
      </c>
      <c r="S74" s="39">
        <f t="shared" si="31"/>
        <v>1</v>
      </c>
      <c r="T74" s="20">
        <v>5</v>
      </c>
      <c r="U74" s="20">
        <f t="shared" si="32"/>
        <v>1</v>
      </c>
      <c r="V74" s="21">
        <f t="shared" si="33"/>
        <v>4</v>
      </c>
      <c r="W74" s="20">
        <f t="shared" si="34"/>
        <v>-4</v>
      </c>
      <c r="X74" s="12">
        <f t="shared" si="35"/>
        <v>5</v>
      </c>
      <c r="Y74" s="12">
        <f t="shared" si="36"/>
        <v>1</v>
      </c>
      <c r="Z74" s="12">
        <f t="shared" si="37"/>
        <v>4</v>
      </c>
      <c r="AA74" s="22">
        <f t="shared" si="38"/>
        <v>-4</v>
      </c>
      <c r="AB74" s="23">
        <f t="shared" si="39"/>
        <v>1</v>
      </c>
      <c r="BM74" s="60"/>
    </row>
    <row r="75" spans="3:65" x14ac:dyDescent="0.35">
      <c r="C75" s="7">
        <f t="shared" ref="C75:D75" si="43">C19</f>
        <v>0</v>
      </c>
      <c r="D75" s="19">
        <f t="shared" si="43"/>
        <v>0</v>
      </c>
      <c r="E75" s="44"/>
      <c r="F75" s="45"/>
      <c r="G75" s="45"/>
      <c r="H75" s="45"/>
      <c r="I75" s="69"/>
      <c r="J75" s="41"/>
      <c r="K75" s="46"/>
      <c r="L75" s="46"/>
      <c r="M75" s="48"/>
      <c r="N75" s="50"/>
      <c r="O75" s="20"/>
      <c r="P75" s="20"/>
      <c r="Q75" s="20"/>
      <c r="R75" s="20"/>
      <c r="S75" s="39"/>
      <c r="T75" s="20"/>
      <c r="U75" s="20"/>
      <c r="V75" s="21"/>
      <c r="W75" s="20"/>
      <c r="X75" s="12"/>
      <c r="Y75" s="12"/>
      <c r="Z75" s="12"/>
      <c r="AA75" s="22"/>
      <c r="AB75" s="23"/>
    </row>
    <row r="76" spans="3:65" x14ac:dyDescent="0.35">
      <c r="C76" s="7">
        <f t="shared" ref="C76:D76" si="44">C20</f>
        <v>0</v>
      </c>
      <c r="D76" s="19">
        <f t="shared" si="44"/>
        <v>0</v>
      </c>
      <c r="E76" s="44"/>
      <c r="F76" s="45"/>
      <c r="G76" s="45"/>
      <c r="H76" s="45"/>
      <c r="I76" s="69"/>
      <c r="J76" s="41"/>
      <c r="K76" s="46"/>
      <c r="L76" s="46"/>
      <c r="M76" s="48"/>
      <c r="N76" s="50"/>
      <c r="O76" s="20"/>
      <c r="P76" s="20"/>
      <c r="Q76" s="20"/>
      <c r="R76" s="20"/>
      <c r="S76" s="39"/>
      <c r="T76" s="20"/>
      <c r="U76" s="20"/>
      <c r="V76" s="21"/>
      <c r="W76" s="20"/>
      <c r="X76" s="12"/>
      <c r="Y76" s="12"/>
      <c r="Z76" s="12"/>
      <c r="AA76" s="22"/>
      <c r="AB76" s="23"/>
    </row>
    <row r="77" spans="3:65" x14ac:dyDescent="0.35">
      <c r="C77" s="7">
        <f t="shared" ref="C77:D77" si="45">C21</f>
        <v>0</v>
      </c>
      <c r="D77" s="19">
        <f t="shared" si="45"/>
        <v>0</v>
      </c>
      <c r="E77" s="44"/>
      <c r="F77" s="45"/>
      <c r="G77" s="45"/>
      <c r="H77" s="45"/>
      <c r="I77" s="69"/>
      <c r="J77" s="41"/>
      <c r="K77" s="46"/>
      <c r="L77" s="46"/>
      <c r="M77" s="48"/>
      <c r="N77" s="50"/>
      <c r="O77" s="20"/>
      <c r="P77" s="20"/>
      <c r="Q77" s="20"/>
      <c r="R77" s="20"/>
      <c r="S77" s="39"/>
      <c r="T77" s="20"/>
      <c r="U77" s="20"/>
      <c r="V77" s="21"/>
      <c r="W77" s="20"/>
      <c r="X77" s="12"/>
      <c r="Y77" s="12"/>
      <c r="Z77" s="12"/>
      <c r="AA77" s="22"/>
      <c r="AB77" s="23"/>
    </row>
    <row r="78" spans="3:65" x14ac:dyDescent="0.35">
      <c r="C78" s="7">
        <f t="shared" ref="C78:D78" si="46">C22</f>
        <v>0</v>
      </c>
      <c r="D78" s="19">
        <f t="shared" si="46"/>
        <v>0</v>
      </c>
      <c r="E78" s="44"/>
      <c r="F78" s="45"/>
      <c r="G78" s="45"/>
      <c r="H78" s="45"/>
      <c r="I78" s="69"/>
      <c r="J78" s="41"/>
      <c r="K78" s="46"/>
      <c r="L78" s="46"/>
      <c r="M78" s="48"/>
      <c r="N78" s="50"/>
      <c r="O78" s="20"/>
      <c r="P78" s="20"/>
      <c r="Q78" s="20"/>
      <c r="R78" s="20"/>
      <c r="S78" s="39"/>
      <c r="T78" s="20"/>
      <c r="U78" s="20"/>
      <c r="V78" s="21"/>
      <c r="W78" s="20"/>
      <c r="X78" s="12"/>
      <c r="Y78" s="12"/>
      <c r="Z78" s="12"/>
      <c r="AA78" s="22"/>
      <c r="AB78" s="23"/>
    </row>
    <row r="79" spans="3:65" x14ac:dyDescent="0.35">
      <c r="C79" s="7">
        <f t="shared" ref="C79:D79" si="47">C23</f>
        <v>0</v>
      </c>
      <c r="D79" s="19">
        <f t="shared" si="47"/>
        <v>0</v>
      </c>
      <c r="E79" s="44"/>
      <c r="F79" s="45"/>
      <c r="G79" s="45"/>
      <c r="H79" s="45"/>
      <c r="I79" s="69"/>
      <c r="J79" s="41"/>
      <c r="K79" s="46"/>
      <c r="L79" s="46"/>
      <c r="M79" s="48"/>
      <c r="N79" s="50"/>
      <c r="O79" s="20"/>
      <c r="P79" s="20"/>
      <c r="Q79" s="20"/>
      <c r="R79" s="20"/>
      <c r="S79" s="39"/>
      <c r="T79" s="20"/>
      <c r="U79" s="20"/>
      <c r="V79" s="21"/>
      <c r="W79" s="20"/>
      <c r="X79" s="12"/>
      <c r="Y79" s="12"/>
      <c r="Z79" s="12"/>
      <c r="AA79" s="22"/>
      <c r="AB79" s="23"/>
    </row>
    <row r="80" spans="3:65" x14ac:dyDescent="0.35">
      <c r="C80" s="7">
        <f t="shared" ref="C80:D80" si="48">C24</f>
        <v>0</v>
      </c>
      <c r="D80" s="19">
        <f t="shared" si="48"/>
        <v>0</v>
      </c>
      <c r="E80" s="44"/>
      <c r="F80" s="45"/>
      <c r="G80" s="45"/>
      <c r="H80" s="45"/>
      <c r="I80" s="69"/>
      <c r="J80" s="41"/>
      <c r="K80" s="46"/>
      <c r="L80" s="46"/>
      <c r="M80" s="48"/>
      <c r="N80" s="50"/>
      <c r="O80" s="20"/>
      <c r="P80" s="20"/>
      <c r="Q80" s="20"/>
      <c r="R80" s="20"/>
      <c r="S80" s="39"/>
      <c r="T80" s="20"/>
      <c r="U80" s="20"/>
      <c r="V80" s="21"/>
      <c r="W80" s="20"/>
      <c r="X80" s="12"/>
      <c r="Y80" s="12"/>
      <c r="Z80" s="12"/>
      <c r="AA80" s="22"/>
      <c r="AB80" s="23"/>
    </row>
    <row r="81" spans="3:28" x14ac:dyDescent="0.35">
      <c r="C81" s="7"/>
      <c r="D81" s="10" t="s">
        <v>32</v>
      </c>
      <c r="E81" s="33">
        <f t="shared" ref="E81:K81" si="49">SUM(E65:E80)</f>
        <v>10</v>
      </c>
      <c r="F81" s="34">
        <f t="shared" si="49"/>
        <v>4</v>
      </c>
      <c r="G81" s="34">
        <f t="shared" si="49"/>
        <v>0</v>
      </c>
      <c r="H81" s="34">
        <f t="shared" si="49"/>
        <v>6</v>
      </c>
      <c r="I81" s="35">
        <f t="shared" si="49"/>
        <v>0</v>
      </c>
      <c r="J81" s="36">
        <f t="shared" si="49"/>
        <v>0</v>
      </c>
      <c r="K81" s="34">
        <f t="shared" si="49"/>
        <v>0</v>
      </c>
      <c r="L81" s="34">
        <f>SUM(L68:L80)</f>
        <v>0</v>
      </c>
      <c r="M81" s="35">
        <f>SUM(M68:M80)</f>
        <v>0</v>
      </c>
      <c r="N81" s="51">
        <f>AVERAGE(N65:N80)</f>
        <v>0.79999999999999993</v>
      </c>
      <c r="O81" s="4">
        <f>AVERAGE(O65:O80)</f>
        <v>0.4</v>
      </c>
      <c r="P81" s="4">
        <f>AVERAGE(P65:P80)</f>
        <v>0</v>
      </c>
      <c r="Q81" s="4">
        <f>AVERAGE(Q65:Q80)</f>
        <v>0.6</v>
      </c>
      <c r="R81" s="4">
        <f>AVERAGE(R65:R80)</f>
        <v>0</v>
      </c>
      <c r="S81" s="1">
        <f>SUM(S65:S80)</f>
        <v>4</v>
      </c>
      <c r="T81" s="5">
        <f>AVERAGE(T65:T80)</f>
        <v>2</v>
      </c>
      <c r="U81" s="5">
        <f>AVERAGE(U65:U80)</f>
        <v>1</v>
      </c>
      <c r="V81" s="5">
        <f>AVERAGE(V65:V80)</f>
        <v>1</v>
      </c>
      <c r="W81" s="5">
        <f>AVERAGE(W65:W80)</f>
        <v>-1</v>
      </c>
      <c r="X81" s="6">
        <f>SUM(X65:X80)</f>
        <v>20</v>
      </c>
      <c r="Y81" s="6">
        <f>SUM(Y65:Y80)</f>
        <v>10</v>
      </c>
      <c r="Z81" s="6">
        <f>SUM(Z65:Z80)</f>
        <v>10</v>
      </c>
      <c r="AA81" s="18">
        <f>SUM(AA65:AA80)</f>
        <v>-10</v>
      </c>
      <c r="AB81" s="6">
        <f>SUM(Y81:AA81)</f>
        <v>10</v>
      </c>
    </row>
    <row r="82" spans="3:28" x14ac:dyDescent="0.35">
      <c r="D82" s="11" t="s">
        <v>50</v>
      </c>
      <c r="E82" s="70"/>
      <c r="F82" s="70"/>
      <c r="G82" s="70"/>
      <c r="H82" s="70"/>
      <c r="I82" s="70"/>
      <c r="J82" s="16">
        <v>215</v>
      </c>
      <c r="K82" s="70"/>
      <c r="L82" s="70"/>
      <c r="M82" s="70"/>
      <c r="N82" s="70"/>
    </row>
    <row r="139" spans="1:6" x14ac:dyDescent="0.35">
      <c r="A139" s="78" t="s">
        <v>51</v>
      </c>
      <c r="B139" s="78"/>
      <c r="C139" s="78"/>
    </row>
    <row r="140" spans="1:6" x14ac:dyDescent="0.35">
      <c r="E140" s="70" t="s">
        <v>52</v>
      </c>
      <c r="F140" s="70" t="s">
        <v>53</v>
      </c>
    </row>
    <row r="141" spans="1:6" x14ac:dyDescent="0.35">
      <c r="C141" s="82" t="s">
        <v>2</v>
      </c>
      <c r="D141" t="s">
        <v>54</v>
      </c>
      <c r="E141" s="38">
        <f>COUNTA(D4:D36)</f>
        <v>10</v>
      </c>
      <c r="F141" s="52">
        <v>1</v>
      </c>
    </row>
    <row r="142" spans="1:6" x14ac:dyDescent="0.35">
      <c r="C142" s="82"/>
      <c r="D142" t="s">
        <v>55</v>
      </c>
      <c r="E142" s="38">
        <f>'Données '!S81</f>
        <v>4</v>
      </c>
      <c r="F142" s="28">
        <f>E142/$E$141</f>
        <v>0.4</v>
      </c>
    </row>
    <row r="143" spans="1:6" x14ac:dyDescent="0.35">
      <c r="C143" s="82"/>
      <c r="D143" t="s">
        <v>56</v>
      </c>
      <c r="E143" s="38">
        <f>+E141-E142</f>
        <v>6</v>
      </c>
      <c r="F143" s="28">
        <f>E143/$E$141</f>
        <v>0.6</v>
      </c>
    </row>
    <row r="159" spans="1:3" x14ac:dyDescent="0.35">
      <c r="A159" s="78" t="s">
        <v>57</v>
      </c>
      <c r="B159" s="78"/>
      <c r="C159" s="78"/>
    </row>
    <row r="161" spans="3:6" x14ac:dyDescent="0.35">
      <c r="C161" s="82" t="s">
        <v>26</v>
      </c>
      <c r="D161" s="14" t="s">
        <v>28</v>
      </c>
      <c r="E161" s="59"/>
      <c r="F161" s="63">
        <f>J37</f>
        <v>0.92307692307692313</v>
      </c>
    </row>
    <row r="162" spans="3:6" x14ac:dyDescent="0.35">
      <c r="C162" s="82"/>
      <c r="D162" s="66" t="s">
        <v>5</v>
      </c>
      <c r="E162" s="60"/>
      <c r="F162" s="67">
        <f>G37</f>
        <v>1</v>
      </c>
    </row>
    <row r="163" spans="3:6" x14ac:dyDescent="0.35">
      <c r="C163" s="82"/>
      <c r="D163" s="61" t="s">
        <v>58</v>
      </c>
      <c r="E163" s="60"/>
      <c r="F163" s="64">
        <f>F162-F161</f>
        <v>7.6923076923076872E-2</v>
      </c>
    </row>
    <row r="164" spans="3:6" x14ac:dyDescent="0.35">
      <c r="C164" s="82"/>
      <c r="D164" s="15" t="s">
        <v>59</v>
      </c>
      <c r="E164" s="62"/>
      <c r="F164" s="65">
        <f>1-F162</f>
        <v>0</v>
      </c>
    </row>
    <row r="165" spans="3:6" x14ac:dyDescent="0.35">
      <c r="D165" t="s">
        <v>32</v>
      </c>
      <c r="F165" s="29">
        <f>F161+F163+F164</f>
        <v>1</v>
      </c>
    </row>
  </sheetData>
  <mergeCells count="7">
    <mergeCell ref="A60:C60"/>
    <mergeCell ref="J63:M63"/>
    <mergeCell ref="E63:I63"/>
    <mergeCell ref="C141:C143"/>
    <mergeCell ref="C161:C164"/>
    <mergeCell ref="A159:C159"/>
    <mergeCell ref="A139:C139"/>
  </mergeCells>
  <phoneticPr fontId="5" type="noConversion"/>
  <conditionalFormatting sqref="F4:F36 S75:S80">
    <cfRule type="cellIs" dxfId="2" priority="3" operator="equal">
      <formula>1</formula>
    </cfRule>
  </conditionalFormatting>
  <conditionalFormatting sqref="S65:S74">
    <cfRule type="cellIs" dxfId="1" priority="2" operator="equal">
      <formula>1</formula>
    </cfRule>
  </conditionalFormatting>
  <conditionalFormatting sqref="C65:D80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ignoredErrors>
    <ignoredError sqref="J65:J70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topLeftCell="A61" zoomScale="70" zoomScaleNormal="70" workbookViewId="0">
      <selection activeCell="E124" sqref="E124"/>
    </sheetView>
  </sheetViews>
  <sheetFormatPr baseColWidth="10" defaultColWidth="11.453125" defaultRowHeight="14.5" x14ac:dyDescent="0.3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178:Q233"/>
  <sheetViews>
    <sheetView showGridLines="0" zoomScale="50" zoomScaleNormal="50" workbookViewId="0">
      <selection activeCell="G88" sqref="G88"/>
    </sheetView>
  </sheetViews>
  <sheetFormatPr baseColWidth="10" defaultColWidth="11.453125" defaultRowHeight="14.5" x14ac:dyDescent="0.35"/>
  <sheetData>
    <row r="178" spans="10:17" x14ac:dyDescent="0.35">
      <c r="J178" t="s">
        <v>60</v>
      </c>
    </row>
    <row r="179" spans="10:17" x14ac:dyDescent="0.35">
      <c r="K179" t="s">
        <v>61</v>
      </c>
    </row>
    <row r="182" spans="10:17" x14ac:dyDescent="0.35">
      <c r="J182" t="s">
        <v>62</v>
      </c>
    </row>
    <row r="183" spans="10:17" x14ac:dyDescent="0.35">
      <c r="K183" t="s">
        <v>63</v>
      </c>
      <c r="Q183" t="s">
        <v>64</v>
      </c>
    </row>
    <row r="184" spans="10:17" x14ac:dyDescent="0.35">
      <c r="K184" t="s">
        <v>65</v>
      </c>
    </row>
    <row r="186" spans="10:17" x14ac:dyDescent="0.35">
      <c r="K186" t="s">
        <v>66</v>
      </c>
    </row>
    <row r="187" spans="10:17" x14ac:dyDescent="0.35">
      <c r="K187" t="s">
        <v>67</v>
      </c>
    </row>
    <row r="189" spans="10:17" x14ac:dyDescent="0.35">
      <c r="K189" t="s">
        <v>68</v>
      </c>
    </row>
    <row r="191" spans="10:17" x14ac:dyDescent="0.35">
      <c r="K191" t="s">
        <v>69</v>
      </c>
    </row>
    <row r="193" spans="10:13" x14ac:dyDescent="0.35">
      <c r="K193" t="s">
        <v>70</v>
      </c>
      <c r="L193" t="s">
        <v>71</v>
      </c>
    </row>
    <row r="194" spans="10:13" x14ac:dyDescent="0.35">
      <c r="J194" t="s">
        <v>72</v>
      </c>
    </row>
    <row r="195" spans="10:13" x14ac:dyDescent="0.35">
      <c r="K195" t="s">
        <v>73</v>
      </c>
    </row>
    <row r="196" spans="10:13" x14ac:dyDescent="0.35">
      <c r="K196" t="s">
        <v>74</v>
      </c>
    </row>
    <row r="197" spans="10:13" x14ac:dyDescent="0.35">
      <c r="K197" t="s">
        <v>75</v>
      </c>
    </row>
    <row r="202" spans="10:13" x14ac:dyDescent="0.35">
      <c r="J202" t="s">
        <v>76</v>
      </c>
    </row>
    <row r="204" spans="10:13" x14ac:dyDescent="0.35">
      <c r="J204" t="s">
        <v>77</v>
      </c>
    </row>
    <row r="205" spans="10:13" x14ac:dyDescent="0.35">
      <c r="K205" t="s">
        <v>78</v>
      </c>
    </row>
    <row r="206" spans="10:13" x14ac:dyDescent="0.35">
      <c r="L206" t="s">
        <v>79</v>
      </c>
    </row>
    <row r="207" spans="10:13" x14ac:dyDescent="0.35">
      <c r="M207" t="s">
        <v>80</v>
      </c>
    </row>
    <row r="208" spans="10:13" x14ac:dyDescent="0.35">
      <c r="M208" t="s">
        <v>81</v>
      </c>
    </row>
    <row r="209" spans="11:13" x14ac:dyDescent="0.35">
      <c r="K209" t="s">
        <v>82</v>
      </c>
    </row>
    <row r="210" spans="11:13" x14ac:dyDescent="0.35">
      <c r="L210" t="s">
        <v>83</v>
      </c>
    </row>
    <row r="211" spans="11:13" x14ac:dyDescent="0.35">
      <c r="K211" t="s">
        <v>84</v>
      </c>
    </row>
    <row r="212" spans="11:13" x14ac:dyDescent="0.35">
      <c r="L212" t="s">
        <v>85</v>
      </c>
    </row>
    <row r="213" spans="11:13" x14ac:dyDescent="0.35">
      <c r="K213" t="s">
        <v>86</v>
      </c>
    </row>
    <row r="214" spans="11:13" x14ac:dyDescent="0.35">
      <c r="L214" t="s">
        <v>87</v>
      </c>
    </row>
    <row r="215" spans="11:13" x14ac:dyDescent="0.35">
      <c r="K215" t="s">
        <v>88</v>
      </c>
    </row>
    <row r="216" spans="11:13" x14ac:dyDescent="0.35">
      <c r="L216" t="s">
        <v>89</v>
      </c>
      <c r="M216" t="s">
        <v>90</v>
      </c>
    </row>
    <row r="217" spans="11:13" x14ac:dyDescent="0.35">
      <c r="L217" t="s">
        <v>91</v>
      </c>
    </row>
    <row r="218" spans="11:13" x14ac:dyDescent="0.35">
      <c r="M218" t="s">
        <v>92</v>
      </c>
    </row>
    <row r="219" spans="11:13" x14ac:dyDescent="0.35">
      <c r="L219" t="s">
        <v>93</v>
      </c>
    </row>
    <row r="220" spans="11:13" x14ac:dyDescent="0.35">
      <c r="M220" t="s">
        <v>94</v>
      </c>
    </row>
    <row r="221" spans="11:13" x14ac:dyDescent="0.35">
      <c r="K221" t="s">
        <v>95</v>
      </c>
    </row>
    <row r="222" spans="11:13" x14ac:dyDescent="0.35">
      <c r="L222" t="s">
        <v>29</v>
      </c>
    </row>
    <row r="223" spans="11:13" x14ac:dyDescent="0.35">
      <c r="K223" t="s">
        <v>96</v>
      </c>
    </row>
    <row r="224" spans="11:13" x14ac:dyDescent="0.35">
      <c r="L224" t="s">
        <v>29</v>
      </c>
    </row>
    <row r="225" spans="8:10" x14ac:dyDescent="0.35">
      <c r="H225" t="s">
        <v>97</v>
      </c>
    </row>
    <row r="226" spans="8:10" x14ac:dyDescent="0.35">
      <c r="I226" t="s">
        <v>98</v>
      </c>
      <c r="J226" t="s">
        <v>99</v>
      </c>
    </row>
    <row r="227" spans="8:10" x14ac:dyDescent="0.35">
      <c r="I227" t="s">
        <v>100</v>
      </c>
      <c r="J227" t="s">
        <v>101</v>
      </c>
    </row>
    <row r="228" spans="8:10" x14ac:dyDescent="0.35">
      <c r="I228" t="s">
        <v>102</v>
      </c>
      <c r="J228" t="s">
        <v>103</v>
      </c>
    </row>
    <row r="229" spans="8:10" x14ac:dyDescent="0.35">
      <c r="I229" t="s">
        <v>104</v>
      </c>
      <c r="J229" t="s">
        <v>105</v>
      </c>
    </row>
    <row r="230" spans="8:10" x14ac:dyDescent="0.35">
      <c r="I230" t="s">
        <v>106</v>
      </c>
      <c r="J230" t="s">
        <v>107</v>
      </c>
    </row>
    <row r="231" spans="8:10" x14ac:dyDescent="0.35">
      <c r="I231" t="s">
        <v>108</v>
      </c>
      <c r="J231" t="s">
        <v>109</v>
      </c>
    </row>
    <row r="232" spans="8:10" x14ac:dyDescent="0.35">
      <c r="I232" t="s">
        <v>110</v>
      </c>
      <c r="J232" t="s">
        <v>109</v>
      </c>
    </row>
    <row r="233" spans="8:10" x14ac:dyDescent="0.35">
      <c r="J233" t="s">
        <v>111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Données </vt:lpstr>
      <vt:lpstr>Diagrammes</vt:lpstr>
      <vt:lpstr>Tableau de bord</vt:lpstr>
    </vt:vector>
  </TitlesOfParts>
  <Manager/>
  <Company>ASP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Anir RADID</dc:creator>
  <cp:keywords/>
  <dc:description/>
  <cp:lastModifiedBy>chaimae EL hallay</cp:lastModifiedBy>
  <cp:revision/>
  <dcterms:created xsi:type="dcterms:W3CDTF">2015-08-28T13:23:12Z</dcterms:created>
  <dcterms:modified xsi:type="dcterms:W3CDTF">2026-02-05T10:07:21Z</dcterms:modified>
  <cp:category/>
  <cp:contentStatus/>
</cp:coreProperties>
</file>